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od Tracker" sheetId="2" state="visible" r:id="rId4"/>
    <sheet name="Patch Log" sheetId="3" state="visible" r:id="rId5"/>
    <sheet name="Issue Log" sheetId="4" state="visible" r:id="rId6"/>
    <sheet name="Backups" sheetId="5" state="visible" r:id="rId7"/>
    <sheet name="Save Info" sheetId="6" state="visible" r:id="rId8"/>
    <sheet name="Sims Roster" sheetId="7" state="visible" r:id="rId9"/>
  </sheets>
  <definedNames>
    <definedName function="false" hidden="true" localSheetId="4" name="_xlnm._FilterDatabase" vbProcedure="false">Backups!$A$4:$G$205</definedName>
    <definedName function="false" hidden="true" localSheetId="3" name="_xlnm._FilterDatabase" vbProcedure="false">'Issue Log'!$A$4:$K$205</definedName>
    <definedName function="false" hidden="true" localSheetId="1" name="_xlnm._FilterDatabase" vbProcedure="false">'Mod Tracker'!$A$5:$L$105</definedName>
    <definedName function="false" hidden="true" localSheetId="2" name="_xlnm._FilterDatabase" vbProcedure="false">'Patch Log'!$A$4:$L$205</definedName>
    <definedName function="false" hidden="true" localSheetId="6" name="_xlnm._FilterDatabase" vbProcedure="false">'Sims Roster'!$A$4:$J$205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<sst xmlns="http://schemas.openxmlformats.org/spreadsheetml/2006/main" count="355" uniqueCount="248">
  <si>
    <t xml:space="preserve">Forever Save Tracker</t>
  </si>
  <si>
    <t xml:space="preserve">Sims 4 on PC. Built for game version 1.128.90.1030 (patch 1.128, September 22, 2026).</t>
  </si>
  <si>
    <t xml:space="preserve">At a glance</t>
  </si>
  <si>
    <t xml:space="preserve">Mods tracked</t>
  </si>
  <si>
    <t xml:space="preserve">Working</t>
  </si>
  <si>
    <t xml:space="preserve">Testing</t>
  </si>
  <si>
    <t xml:space="preserve">Needs update</t>
  </si>
  <si>
    <t xml:space="preserve">Broken</t>
  </si>
  <si>
    <t xml:space="preserve">Retired</t>
  </si>
  <si>
    <t xml:space="preserve">Not installed yet</t>
  </si>
  <si>
    <t xml:space="preserve">Mods past the stale limit</t>
  </si>
  <si>
    <t xml:space="preserve">Issues not marked Resolved</t>
  </si>
  <si>
    <t xml:space="preserve">Latest patch logged</t>
  </si>
  <si>
    <t xml:space="preserve">Last backup</t>
  </si>
  <si>
    <t xml:space="preserve">Days since last backup</t>
  </si>
  <si>
    <t xml:space="preserve">How to read this workbook</t>
  </si>
  <si>
    <t xml:space="preserve">Yellow cell</t>
  </si>
  <si>
    <t xml:space="preserve">A single value for you to fill in or change.</t>
  </si>
  <si>
    <t xml:space="preserve">Grey italic row</t>
  </si>
  <si>
    <t xml:space="preserve">An example row with made-up values. Overwrite it or delete it.</t>
  </si>
  <si>
    <t xml:space="preserve">Black text, no fill</t>
  </si>
  <si>
    <t xml:space="preserve">A formula or a fixed fact from the research. Leave formulas alone.</t>
  </si>
  <si>
    <t xml:space="preserve">Table rows</t>
  </si>
  <si>
    <t xml:space="preserve">Type straight into the rows. Dropdowns list the allowed choices. Each sheet has room for 200 rows.</t>
  </si>
  <si>
    <t xml:space="preserve">Steps</t>
  </si>
  <si>
    <t xml:space="preserve">Before every patch</t>
  </si>
  <si>
    <t xml:space="preserve">Copy your Saves folder and your Mods folder somewhere safe, then add a row on the Backups sheet.</t>
  </si>
  <si>
    <t xml:space="preserve">After every patch</t>
  </si>
  <si>
    <t xml:space="preserve">Add a row on Patch Log. Turn Script Mods Allowed back on in Game Options, Other. Open the EA forum thread for the new patch and set each affected mod on Mod Tracker to Needs update, Broken or Working. Delete localthumbcache.package after you change Mods.</t>
  </si>
  <si>
    <t xml:space="preserve">When something breaks</t>
  </si>
  <si>
    <t xml:space="preserve">Add a row on Issue Log. Follow the When a mod breaks section of your install-order page: vanilla test, then the 50/50 method. Write down the fix and mark the issue Resolved.</t>
  </si>
  <si>
    <t xml:space="preserve">When you add a mod</t>
  </si>
  <si>
    <t xml:space="preserve">Add a row on Mod Tracker and set Status to Testing. Install it and play one Sim day. Then set Status to Working and fill in Version installed, Game version tested on and Last checked.</t>
  </si>
  <si>
    <t xml:space="preserve">Once a month</t>
  </si>
  <si>
    <t xml:space="preserve">Filter Mod Tracker by Days since check. Highlighted mods are past the stale limit. Open their pages, look for new builds, and update Last checked.</t>
  </si>
  <si>
    <t xml:space="preserve">When a Sim joins the world</t>
  </si>
  <si>
    <t xml:space="preserve">Add them to Sims Roster with their home world and languages so you can follow the story later.</t>
  </si>
  <si>
    <t xml:space="preserve">Assumptions</t>
  </si>
  <si>
    <t xml:space="preserve">Stale limit</t>
  </si>
  <si>
    <t xml:space="preserve">45 days is my default. Change it on Mod Tracker, cell E3.</t>
  </si>
  <si>
    <t xml:space="preserve">Mod list</t>
  </si>
  <si>
    <t xml:space="preserve">Taken from your install-order page. Creators, notes and links come from pages I read between October 9 and 11, 2026. Version, status and date columns are blank for you.</t>
  </si>
  <si>
    <t xml:space="preserve">Patch 1.128</t>
  </si>
  <si>
    <t xml:space="preserve">The release date comes from the EA forum thread title. The full version number comes from your screenshot.</t>
  </si>
  <si>
    <t xml:space="preserve">Save details</t>
  </si>
  <si>
    <t xml:space="preserve">Everything on Save Info comes from the CurseForge page for the save. I did not open the save itself.</t>
  </si>
  <si>
    <t xml:space="preserve">Mod Tracker</t>
  </si>
  <si>
    <t xml:space="preserve">One row per mod. Pre-filled from your install-order page. Fill in the blank columns as you install and test.</t>
  </si>
  <si>
    <t xml:space="preserve">Flag a mod as stale after this many days:</t>
  </si>
  <si>
    <t xml:space="preserve">days since Last checked (my default, change it)</t>
  </si>
  <si>
    <t xml:space="preserve">Batch</t>
  </si>
  <si>
    <t xml:space="preserve">Mod</t>
  </si>
  <si>
    <t xml:space="preserve">Creator</t>
  </si>
  <si>
    <t xml:space="preserve">Category</t>
  </si>
  <si>
    <t xml:space="preserve">Required?</t>
  </si>
  <si>
    <t xml:space="preserve">Status</t>
  </si>
  <si>
    <t xml:space="preserve">Version installed</t>
  </si>
  <si>
    <t xml:space="preserve">Game version tested on</t>
  </si>
  <si>
    <t xml:space="preserve">Last checked</t>
  </si>
  <si>
    <t xml:space="preserve">Days since check</t>
  </si>
  <si>
    <t xml:space="preserve">Page</t>
  </si>
  <si>
    <t xml:space="preserve">Notes</t>
  </si>
  <si>
    <t xml:space="preserve">Batch 1</t>
  </si>
  <si>
    <t xml:space="preserve">MC Command Center</t>
  </si>
  <si>
    <t xml:space="preserve">Deaderpool</t>
  </si>
  <si>
    <t xml:space="preserve">Foundation</t>
  </si>
  <si>
    <t xml:space="preserve">Required</t>
  </si>
  <si>
    <t xml:space="preserve">Not installed</t>
  </si>
  <si>
    <t xml:space="preserve">Story progression, population and household control. Windows only. Install the core file plus only the modules you want.</t>
  </si>
  <si>
    <t xml:space="preserve">UI Cheats Extension</t>
  </si>
  <si>
    <t xml:space="preserve">weerbesu</t>
  </si>
  <si>
    <t xml:space="preserve">Edit needs, skills, relationships and traits from the pie menu.</t>
  </si>
  <si>
    <t xml:space="preserve">Batch 2</t>
  </si>
  <si>
    <t xml:space="preserve">WickedWhims</t>
  </si>
  <si>
    <t xml:space="preserve">TURBODRIVER</t>
  </si>
  <si>
    <t xml:space="preserve">Adult</t>
  </si>
  <si>
    <t xml:space="preserve">Creator page</t>
  </si>
  <si>
    <t xml:space="preserve">Includes everything in Wonderful Whims, so skip that one. Delete old WickedWhims files before installing a new release.</t>
  </si>
  <si>
    <t xml:space="preserve">Nisa's Wicked Perversions</t>
  </si>
  <si>
    <t xml:space="preserve">Nisa</t>
  </si>
  <si>
    <t xml:space="preserve">Optional</t>
  </si>
  <si>
    <t xml:space="preserve">If you use it, match its version to your WickedWhims release. A mismatch causes most WickedWhims error reports.</t>
  </si>
  <si>
    <t xml:space="preserve">Basemental Drugs</t>
  </si>
  <si>
    <t xml:space="preserve">Basemental</t>
  </si>
  <si>
    <t xml:space="preserve">Includes the alcohol features, so you do not need a separate alcohol mod.</t>
  </si>
  <si>
    <t xml:space="preserve">Batch 3</t>
  </si>
  <si>
    <t xml:space="preserve">Slice of Life</t>
  </si>
  <si>
    <t xml:space="preserve">Sacrificial</t>
  </si>
  <si>
    <t xml:space="preserve">Immersion</t>
  </si>
  <si>
    <t xml:space="preserve">Personality quirks, illness, injuries and deeper moods.</t>
  </si>
  <si>
    <t xml:space="preserve">Meaningful Stories</t>
  </si>
  <si>
    <t xml:space="preserve">roBurky</t>
  </si>
  <si>
    <t xml:space="preserve">Redesigns the mood and emotion system. Mood mods overlap, so add one at a time.</t>
  </si>
  <si>
    <t xml:space="preserve">First Impressions</t>
  </si>
  <si>
    <t xml:space="preserve">Lumpinou</t>
  </si>
  <si>
    <t xml:space="preserve">Shows trait-based first impressions in the relationship panel.</t>
  </si>
  <si>
    <t xml:space="preserve">XML Injector</t>
  </si>
  <si>
    <t xml:space="preserve">Scumbumbo</t>
  </si>
  <si>
    <t xml:space="preserve">Required by Seasonal Emotions.</t>
  </si>
  <si>
    <t xml:space="preserve">Seasonal Emotions</t>
  </si>
  <si>
    <t xml:space="preserve">Ellesimworld</t>
  </si>
  <si>
    <t xml:space="preserve">Needs XML Injector and Seasons.</t>
  </si>
  <si>
    <t xml:space="preserve">Connected Sims</t>
  </si>
  <si>
    <t xml:space="preserve">A.deep.indigo</t>
  </si>
  <si>
    <t xml:space="preserve">Adds more than 50 ways for friends and family to interact.</t>
  </si>
  <si>
    <t xml:space="preserve">Roommate Stories</t>
  </si>
  <si>
    <t xml:space="preserve">Kawaiistacie</t>
  </si>
  <si>
    <t xml:space="preserve">Roommates keep careers, friends and activities of their own.</t>
  </si>
  <si>
    <t xml:space="preserve">Batch 4</t>
  </si>
  <si>
    <t xml:space="preserve">Dine Out Reloaded (public version)</t>
  </si>
  <si>
    <t xml:space="preserve">Carl's Guides</t>
  </si>
  <si>
    <t xml:space="preserve">Restaurant</t>
  </si>
  <si>
    <t xml:space="preserve">Download post</t>
  </si>
  <si>
    <t xml:space="preserve">Only edit a restaurant while it is closed. Build the restaurant after installing, or chefs may stand outside. Can get blamed when another mod that touches work shifts is out of date.</t>
  </si>
  <si>
    <t xml:space="preserve">Restaurateur Aspiration</t>
  </si>
  <si>
    <t xml:space="preserve">KiaraSims4Mods</t>
  </si>
  <si>
    <t xml:space="preserve">Listing</t>
  </si>
  <si>
    <t xml:space="preserve">Newbie to 5-star restaurant. The reward trait pays 1,000,000 simoleons.</t>
  </si>
  <si>
    <t xml:space="preserve">My Own Business Aspiration</t>
  </si>
  <si>
    <t xml:space="preserve">Not listed</t>
  </si>
  <si>
    <t xml:space="preserve">CurseForge</t>
  </si>
  <si>
    <t xml:space="preserve">Alternative that also covers retail and vet clinics. Skip it if you use the Restaurateur aspiration.</t>
  </si>
  <si>
    <t xml:space="preserve">Pharmacist Career</t>
  </si>
  <si>
    <t xml:space="preserve">midnitetech</t>
  </si>
  <si>
    <t xml:space="preserve">Careers</t>
  </si>
  <si>
    <t xml:space="preserve">Adds an herbalism skill that suits a botanist.</t>
  </si>
  <si>
    <t xml:space="preserve">Batch 5</t>
  </si>
  <si>
    <t xml:space="preserve">More Career Opportunities</t>
  </si>
  <si>
    <t xml:space="preserve">Adds a large set of new careers.</t>
  </si>
  <si>
    <t xml:space="preserve">midnitetech careers</t>
  </si>
  <si>
    <t xml:space="preserve">Chiropractor, Librarian and other active or hybrid careers. Take the ones you want, one row each.</t>
  </si>
  <si>
    <t xml:space="preserve">Wildlife Biologist career</t>
  </si>
  <si>
    <t xml:space="preserve">Updated in late June 2026 on CurseForge.</t>
  </si>
  <si>
    <t xml:space="preserve">Landlord career</t>
  </si>
  <si>
    <t xml:space="preserve">Unlimited Jobs</t>
  </si>
  <si>
    <t xml:space="preserve">Lets a Sim add a second freelance trade without dropping the first.</t>
  </si>
  <si>
    <t xml:space="preserve">Batch 6</t>
  </si>
  <si>
    <t xml:space="preserve">Home Regions</t>
  </si>
  <si>
    <t xml:space="preserve">Kuttoe</t>
  </si>
  <si>
    <t xml:space="preserve">World</t>
  </si>
  <si>
    <t xml:space="preserve">Keeps walkbys and townies to Sims who live in the local world and spreads townies across worlds. Base Game only. No build naming 1.128 was confirmed.</t>
  </si>
  <si>
    <t xml:space="preserve">Language Barriers</t>
  </si>
  <si>
    <t xml:space="preserve">Frankk</t>
  </si>
  <si>
    <t xml:space="preserve">Creator site</t>
  </si>
  <si>
    <t xml:space="preserve">Gives Sims six languages by home world. No 1.128 build confirmed, so check the site before installing.</t>
  </si>
  <si>
    <t xml:space="preserve">Batch 7</t>
  </si>
  <si>
    <t xml:space="preserve">More Columns in CAS</t>
  </si>
  <si>
    <t xml:space="preserve">Simmattically</t>
  </si>
  <si>
    <t xml:space="preserve">CC</t>
  </si>
  <si>
    <t xml:space="preserve">Keeps a large CC collection browsable in Create a Sim.</t>
  </si>
  <si>
    <t xml:space="preserve">Sims 4 Tray Importer</t>
  </si>
  <si>
    <t xml:space="preserve">Tool</t>
  </si>
  <si>
    <t xml:space="preserve">Imports and manages saved households and lots.</t>
  </si>
  <si>
    <t xml:space="preserve">Patch Log</t>
  </si>
  <si>
    <t xml:space="preserve">One row per game patch. Add a row the day a patch lands, then fill in the rest as you fix things.</t>
  </si>
  <si>
    <t xml:space="preserve">Release date</t>
  </si>
  <si>
    <t xml:space="preserve">Patch</t>
  </si>
  <si>
    <t xml:space="preserve">Full version</t>
  </si>
  <si>
    <t xml:space="preserve">Script Mods Allowed back on?</t>
  </si>
  <si>
    <t xml:space="preserve">Backup taken first?</t>
  </si>
  <si>
    <t xml:space="preserve">Mods broken</t>
  </si>
  <si>
    <t xml:space="preserve">Mods updated</t>
  </si>
  <si>
    <t xml:space="preserve">What I did</t>
  </si>
  <si>
    <t xml:space="preserve">Minutes spent</t>
  </si>
  <si>
    <t xml:space="preserve">Fully fixed on</t>
  </si>
  <si>
    <t xml:space="preserve">Days from release to fixed</t>
  </si>
  <si>
    <t xml:space="preserve">1.129</t>
  </si>
  <si>
    <t xml:space="preserve">1.129.12.1030</t>
  </si>
  <si>
    <t xml:space="preserve">Yes</t>
  </si>
  <si>
    <t xml:space="preserve">Example Mod A, Example Mod B</t>
  </si>
  <si>
    <t xml:space="preserve">Example Mod C</t>
  </si>
  <si>
    <t xml:space="preserve">Replaced A and B with the new builds, deleted old files</t>
  </si>
  <si>
    <t xml:space="preserve">EXAMPLE ROW with made-up values. Overwrite or delete it.</t>
  </si>
  <si>
    <t xml:space="preserve">1.128</t>
  </si>
  <si>
    <t xml:space="preserve">1.128.90.1030</t>
  </si>
  <si>
    <t xml:space="preserve">Your current version, from your screenshot. Release date from the EA forum thread title.</t>
  </si>
  <si>
    <t xml:space="preserve">Issue Log</t>
  </si>
  <si>
    <t xml:space="preserve">One row per problem. The fix you write down today saves you the 50/50 hunt next time.</t>
  </si>
  <si>
    <t xml:space="preserve">Date seen</t>
  </si>
  <si>
    <t xml:space="preserve">Symptom</t>
  </si>
  <si>
    <t xml:space="preserve">Game version</t>
  </si>
  <si>
    <t xml:space="preserve">Suspected mod</t>
  </si>
  <si>
    <t xml:space="preserve">Test used</t>
  </si>
  <si>
    <t xml:space="preserve">50/50 rounds</t>
  </si>
  <si>
    <t xml:space="preserve">Fix</t>
  </si>
  <si>
    <t xml:space="preserve">Date resolved</t>
  </si>
  <si>
    <t xml:space="preserve">Days open</t>
  </si>
  <si>
    <t xml:space="preserve">Chefs stand outside the restaurant and never cook</t>
  </si>
  <si>
    <t xml:space="preserve">Dine Out Reloaded</t>
  </si>
  <si>
    <t xml:space="preserve">None yet</t>
  </si>
  <si>
    <t xml:space="preserve">Rebuilt the restaurant after Dine Out Reloaded was installed</t>
  </si>
  <si>
    <t xml:space="preserve">Resolved</t>
  </si>
  <si>
    <t xml:space="preserve">Backups</t>
  </si>
  <si>
    <t xml:space="preserve">Log every copy of your Saves folder. Back up before each patch and before each batch of new mods.</t>
  </si>
  <si>
    <t xml:space="preserve">Date</t>
  </si>
  <si>
    <t xml:space="preserve">Reason</t>
  </si>
  <si>
    <t xml:space="preserve">Where the copy is</t>
  </si>
  <si>
    <t xml:space="preserve">What was copied</t>
  </si>
  <si>
    <t xml:space="preserve">Mods snapshot (file name)</t>
  </si>
  <si>
    <t xml:space="preserve">Before a patch</t>
  </si>
  <si>
    <t xml:space="preserve">D:\Backups\Sims4\2026-10-12</t>
  </si>
  <si>
    <t xml:space="preserve">Saves and Mods</t>
  </si>
  <si>
    <t xml:space="preserve">mods-2026-10-12.zip</t>
  </si>
  <si>
    <t xml:space="preserve">Save Info</t>
  </si>
  <si>
    <t xml:space="preserve">Facts about the save file you downloaded. Yellow cells are for you to fill in.</t>
  </si>
  <si>
    <t xml:space="preserve">Save name</t>
  </si>
  <si>
    <t xml:space="preserve">Ultimate Save (NO CC)</t>
  </si>
  <si>
    <t xml:space="preserve">PlumbobKingdom</t>
  </si>
  <si>
    <t xml:space="preserve">Source page</t>
  </si>
  <si>
    <t xml:space="preserve">CurseForge page</t>
  </si>
  <si>
    <t xml:space="preserve">File date on the page</t>
  </si>
  <si>
    <t xml:space="preserve">Language file you installed</t>
  </si>
  <si>
    <t xml:space="preserve">Save slot name in the game</t>
  </si>
  <si>
    <t xml:space="preserve">Date you started this save</t>
  </si>
  <si>
    <t xml:space="preserve">Mods or CC the save requires</t>
  </si>
  <si>
    <t xml:space="preserve">None, according to the page. The author used T.O.O.L. to build it, and you do not need it to play.</t>
  </si>
  <si>
    <t xml:space="preserve">Packs</t>
  </si>
  <si>
    <t xml:space="preserve">The page does not list required packs. Objects from packs you do not own show up missing.</t>
  </si>
  <si>
    <t xml:space="preserve">Author's status note</t>
  </si>
  <si>
    <t xml:space="preserve">Work in progress. More worlds are planned for future packs.</t>
  </si>
  <si>
    <t xml:space="preserve">Known issue</t>
  </si>
  <si>
    <t xml:space="preserve">Calendar holidays can make Sims miss work. Fix: open the calendar, set the filter to Holidays, choose Edit on each holiday, and delete any holiday whose edit screen will not open. You can recreate it afterward.</t>
  </si>
  <si>
    <t xml:space="preserve">Where to put the file</t>
  </si>
  <si>
    <t xml:space="preserve">The page does not say. The game reads saves from Documents\Electronic Arts\The Sims 4\saves.</t>
  </si>
  <si>
    <t xml:space="preserve">Compatible versions listed</t>
  </si>
  <si>
    <t xml:space="preserve">The page lists 1.124.63 at the top and 115 more versions. I could not see whether 1.128 is among them.</t>
  </si>
  <si>
    <t xml:space="preserve">Sims Roster</t>
  </si>
  <si>
    <t xml:space="preserve">One row per Sim you want to follow. Add them as they join the world.</t>
  </si>
  <si>
    <t xml:space="preserve">Sim name</t>
  </si>
  <si>
    <t xml:space="preserve">Household</t>
  </si>
  <si>
    <t xml:space="preserve">Home world</t>
  </si>
  <si>
    <t xml:space="preserve">Life stage</t>
  </si>
  <si>
    <t xml:space="preserve">Role in the story</t>
  </si>
  <si>
    <t xml:space="preserve">Aspiration</t>
  </si>
  <si>
    <t xml:space="preserve">Career</t>
  </si>
  <si>
    <t xml:space="preserve">Languages</t>
  </si>
  <si>
    <t xml:space="preserve">Date added</t>
  </si>
  <si>
    <t xml:space="preserve">Ana Reyes</t>
  </si>
  <si>
    <t xml:space="preserve">Reyes</t>
  </si>
  <si>
    <t xml:space="preserve">Willow Creek</t>
  </si>
  <si>
    <t xml:space="preserve">Neighbor who runs the bakery</t>
  </si>
  <si>
    <t xml:space="preserve">Friend of the Family</t>
  </si>
  <si>
    <t xml:space="preserve">Baker</t>
  </si>
  <si>
    <t xml:space="preserve">Simlish</t>
  </si>
  <si>
    <t xml:space="preserve">Main Sim. Restaurant owner and botanist.</t>
  </si>
  <si>
    <t xml:space="preserve">Restaurateur</t>
  </si>
  <si>
    <t xml:space="preserve">Gardener, Botanist branch</t>
  </si>
  <si>
    <t xml:space="preserve">Fill in the name, household, home world and languages.</t>
  </si>
</sst>
</file>

<file path=xl/styles.xml><?xml version="1.0" encoding="utf-8"?>
<styleSheet xmlns="http://schemas.openxmlformats.org/spreadsheetml/2006/main">
  <numFmts count="4">
    <numFmt numFmtId="164" formatCode="General"/>
    <numFmt numFmtId="165" formatCode="0"/>
    <numFmt numFmtId="166" formatCode="yyyy\-mm\-dd"/>
    <numFmt numFmtId="167" formatCode="@"/>
  </numFmts>
  <fonts count="12">
    <font>
      <sz val="11"/>
      <color theme="1"/>
      <name val="Calibri"/>
      <family val="2"/>
      <charset val="1"/>
    </font>
    <font>
      <sz val="10"/>
      <name val="Arial"/>
      <family val="0"/>
    </font>
    <font>
      <sz val="10"/>
      <name val="Arial"/>
      <family val="0"/>
    </font>
    <font>
      <sz val="10"/>
      <name val="Arial"/>
      <family val="0"/>
    </font>
    <font>
      <b val="true"/>
      <sz val="16"/>
      <color rgb="FF1F5C46"/>
      <name val="Arial"/>
      <family val="0"/>
      <charset val="1"/>
    </font>
    <font>
      <sz val="10"/>
      <color rgb="FF55655E"/>
      <name val="Arial"/>
      <family val="0"/>
      <charset val="1"/>
    </font>
    <font>
      <b val="true"/>
      <sz val="10"/>
      <name val="Arial"/>
      <family val="0"/>
      <charset val="1"/>
    </font>
    <font>
      <sz val="10"/>
      <name val="Arial"/>
      <family val="0"/>
      <charset val="1"/>
    </font>
    <font>
      <i val="true"/>
      <sz val="10"/>
      <color rgb="FF7F7F7F"/>
      <name val="Arial"/>
      <family val="0"/>
      <charset val="1"/>
    </font>
    <font>
      <b val="true"/>
      <sz val="10"/>
      <color rgb="FF0000FF"/>
      <name val="Arial"/>
      <family val="0"/>
      <charset val="1"/>
    </font>
    <font>
      <b val="true"/>
      <sz val="10"/>
      <color rgb="FFFFFFFF"/>
      <name val="Arial"/>
      <family val="0"/>
      <charset val="1"/>
    </font>
    <font>
      <u val="single"/>
      <sz val="10"/>
      <color rgb="FF0563C1"/>
      <name val="Arial"/>
      <family val="0"/>
      <charset val="1"/>
    </font>
  </fonts>
  <fills count="6">
    <fill>
      <patternFill patternType="none"/>
    </fill>
    <fill>
      <patternFill patternType="gray125"/>
    </fill>
    <fill>
      <patternFill patternType="solid">
        <fgColor rgb="FFE4F1EB"/>
        <bgColor rgb="FFEDEDED"/>
      </patternFill>
    </fill>
    <fill>
      <patternFill patternType="solid">
        <fgColor rgb="FFFFF2CC"/>
        <bgColor rgb="FFF2F2F2"/>
      </patternFill>
    </fill>
    <fill>
      <patternFill patternType="solid">
        <fgColor rgb="FFF2F2F2"/>
        <bgColor rgb="FFEDEDED"/>
      </patternFill>
    </fill>
    <fill>
      <patternFill patternType="solid">
        <fgColor rgb="FF1F5C46"/>
        <bgColor rgb="FF1F4E79"/>
      </patternFill>
    </fill>
  </fills>
  <borders count="2">
    <border diagonalUp="false" diagonalDown="false">
      <left/>
      <right/>
      <top/>
      <bottom/>
      <diagonal/>
    </border>
    <border diagonalUp="false" diagonalDown="false">
      <left style="thin">
        <color rgb="FFD3DDD8"/>
      </left>
      <right style="thin">
        <color rgb="FFD3DDD8"/>
      </right>
      <top style="thin">
        <color rgb="FFD3DDD8"/>
      </top>
      <bottom style="thin">
        <color rgb="FFD3DD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6" fontId="7" fillId="0"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6" fontId="8" fillId="4" borderId="1" xfId="0" applyFont="true" applyBorder="true" applyAlignment="true" applyProtection="false">
      <alignment horizontal="general" vertical="top" textRotation="0" wrapText="false" indent="0" shrinkToFit="false"/>
      <protection locked="true" hidden="false"/>
    </xf>
    <xf numFmtId="167" fontId="8"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5C46"/>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563C1"/>
          <bgColor rgb="FF000000"/>
        </patternFill>
      </fill>
    </dxf>
    <dxf>
      <font>
        <name val="Arial"/>
        <charset val="1"/>
        <family val="0"/>
        <color rgb="FF006100"/>
      </font>
      <fill>
        <patternFill>
          <bgColor rgb="FFC6EFCE"/>
        </patternFill>
      </fill>
    </dxf>
    <dxf>
      <font>
        <name val="Arial"/>
        <charset val="1"/>
        <family val="0"/>
        <color rgb="FF1F4E79"/>
      </font>
      <fill>
        <patternFill>
          <bgColor rgb="FFDDEBF7"/>
        </patternFill>
      </fill>
    </dxf>
    <dxf>
      <font>
        <name val="Arial"/>
        <charset val="1"/>
        <family val="0"/>
        <color rgb="FF9C5700"/>
      </font>
      <fill>
        <patternFill>
          <bgColor rgb="FFFFEB9C"/>
        </patternFill>
      </fill>
    </dxf>
    <dxf>
      <font>
        <name val="Arial"/>
        <charset val="1"/>
        <family val="0"/>
        <color rgb="FF9C0006"/>
      </font>
      <fill>
        <patternFill>
          <bgColor rgb="FFFFC7CE"/>
        </patternFill>
      </fill>
    </dxf>
    <dxf>
      <font>
        <name val="Arial"/>
        <charset val="1"/>
        <family val="0"/>
        <color rgb="FF595959"/>
      </font>
      <fill>
        <patternFill>
          <bgColor rgb="FFEDEDED"/>
        </patternFill>
      </fill>
    </dxf>
    <dxf>
      <fill>
        <patternFill patternType="solid">
          <fgColor rgb="FFF2F2F2"/>
          <bgColor rgb="FF000000"/>
        </patternFill>
      </fill>
    </dxf>
    <dxf>
      <fill>
        <patternFill patternType="solid">
          <fgColor rgb="FF7F7F7F"/>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13805A"/>
      <rgbColor rgb="FFEDEDED"/>
      <rgbColor rgb="FF7F7F7F"/>
      <rgbColor rgb="FF9999FF"/>
      <rgbColor rgb="FF595959"/>
      <rgbColor rgb="FFFFF2CC"/>
      <rgbColor rgb="FFDDEBF7"/>
      <rgbColor rgb="FF660066"/>
      <rgbColor rgb="FFFF8080"/>
      <rgbColor rgb="FF0563C1"/>
      <rgbColor rgb="FFD3DDD8"/>
      <rgbColor rgb="FF000080"/>
      <rgbColor rgb="FFFF00FF"/>
      <rgbColor rgb="FFFFFF00"/>
      <rgbColor rgb="FF00FFFF"/>
      <rgbColor rgb="FF800080"/>
      <rgbColor rgb="FF800000"/>
      <rgbColor rgb="FF008080"/>
      <rgbColor rgb="FF0000FF"/>
      <rgbColor rgb="FF00CCFF"/>
      <rgbColor rgb="FFE4F1EB"/>
      <rgbColor rgb="FFC6EFCE"/>
      <rgbColor rgb="FFFFEB9C"/>
      <rgbColor rgb="FFF2F2F2"/>
      <rgbColor rgb="FFFF99CC"/>
      <rgbColor rgb="FFCC99FF"/>
      <rgbColor rgb="FFFFC7CE"/>
      <rgbColor rgb="FF2A5A9C"/>
      <rgbColor rgb="FF33CCCC"/>
      <rgbColor rgb="FF99CC00"/>
      <rgbColor rgb="FFFFCC00"/>
      <rgbColor rgb="FFFF9900"/>
      <rgbColor rgb="FFFF6600"/>
      <rgbColor rgb="FF55655E"/>
      <rgbColor rgb="FF969696"/>
      <rgbColor rgb="FF003366"/>
      <rgbColor rgb="FF339966"/>
      <rgbColor rgb="FF003300"/>
      <rgbColor rgb="FF333300"/>
      <rgbColor rgb="FF9A4A12"/>
      <rgbColor rgb="FF993366"/>
      <rgbColor rgb="FF1F4E79"/>
      <rgbColor rgb="FF1F5C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urbodriver.itch.io/wickedwhims" TargetMode="External"/><Relationship Id="rId2" Type="http://schemas.openxmlformats.org/officeDocument/2006/relationships/hyperlink" Target="https://www.patreon.com/posts/64188681" TargetMode="External"/><Relationship Id="rId3" Type="http://schemas.openxmlformats.org/officeDocument/2006/relationships/hyperlink" Target="https://snootysims.com/mods/restaurateur-aspiration/" TargetMode="External"/><Relationship Id="rId4" Type="http://schemas.openxmlformats.org/officeDocument/2006/relationships/hyperlink" Target="https://www.curseforge.com/sims4/mods/my-own-business-aspiration" TargetMode="External"/><Relationship Id="rId5" Type="http://schemas.openxmlformats.org/officeDocument/2006/relationships/hyperlink" Target="https://www.curseforge.com/sims4/mods/unlimited-jobs" TargetMode="External"/><Relationship Id="rId6" Type="http://schemas.openxmlformats.org/officeDocument/2006/relationships/hyperlink" Target="https://kuttoe.itch.io/keep-sims-in-home-region" TargetMode="External"/><Relationship Id="rId7" Type="http://schemas.openxmlformats.org/officeDocument/2006/relationships/hyperlink" Target="https://frankkmods.com/" TargetMode="External"/><Relationship Id="rId8"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curseforge.com/sims4/save-files/ultimate-save" TargetMode="Externa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C46"/>
    <pageSetUpPr fitToPage="true"/>
  </sheetPr>
  <dimension ref="A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row>
    <row r="5" customFormat="false" ht="15" hidden="false" customHeight="false" outlineLevel="0" collapsed="false">
      <c r="A5" s="4" t="s">
        <v>3</v>
      </c>
      <c r="B5" s="5" t="n">
        <f aca="false">COUNTA('Mod Tracker'!B6:B105)</f>
        <v>25</v>
      </c>
    </row>
    <row r="6" customFormat="false" ht="15" hidden="false" customHeight="false" outlineLevel="0" collapsed="false">
      <c r="A6" s="4" t="s">
        <v>4</v>
      </c>
      <c r="B6" s="5" t="n">
        <f aca="false">COUNTIF('Mod Tracker'!F6:F105,"Working")</f>
        <v>0</v>
      </c>
    </row>
    <row r="7" customFormat="false" ht="15" hidden="false" customHeight="false" outlineLevel="0" collapsed="false">
      <c r="A7" s="4" t="s">
        <v>5</v>
      </c>
      <c r="B7" s="5" t="n">
        <f aca="false">COUNTIF('Mod Tracker'!F6:F105,"Testing")</f>
        <v>0</v>
      </c>
    </row>
    <row r="8" customFormat="false" ht="15" hidden="false" customHeight="false" outlineLevel="0" collapsed="false">
      <c r="A8" s="4" t="s">
        <v>6</v>
      </c>
      <c r="B8" s="5" t="n">
        <f aca="false">COUNTIF('Mod Tracker'!F6:F105,"Needs update")</f>
        <v>0</v>
      </c>
    </row>
    <row r="9" customFormat="false" ht="15" hidden="false" customHeight="false" outlineLevel="0" collapsed="false">
      <c r="A9" s="4" t="s">
        <v>7</v>
      </c>
      <c r="B9" s="5" t="n">
        <f aca="false">COUNTIF('Mod Tracker'!F6:F105,"Broken")</f>
        <v>0</v>
      </c>
    </row>
    <row r="10" customFormat="false" ht="15" hidden="false" customHeight="false" outlineLevel="0" collapsed="false">
      <c r="A10" s="4" t="s">
        <v>8</v>
      </c>
      <c r="B10" s="5" t="n">
        <f aca="false">COUNTIF('Mod Tracker'!F6:F105,"Retired")</f>
        <v>0</v>
      </c>
    </row>
    <row r="11" customFormat="false" ht="15" hidden="false" customHeight="false" outlineLevel="0" collapsed="false">
      <c r="A11" s="4" t="s">
        <v>9</v>
      </c>
      <c r="B11" s="5" t="n">
        <f aca="false">COUNTIF('Mod Tracker'!F6:F105,"Not installed")</f>
        <v>25</v>
      </c>
    </row>
    <row r="12" customFormat="false" ht="15" hidden="false" customHeight="false" outlineLevel="0" collapsed="false">
      <c r="A12" s="4" t="s">
        <v>10</v>
      </c>
      <c r="B12" s="5" t="n">
        <f aca="false">COUNTIF('Mod Tracker'!J6:J105,"&gt;"&amp;'Mod Tracker'!E3)</f>
        <v>0</v>
      </c>
    </row>
    <row r="13" customFormat="false" ht="15" hidden="false" customHeight="false" outlineLevel="0" collapsed="false">
      <c r="A13" s="4" t="s">
        <v>11</v>
      </c>
      <c r="B13" s="5" t="n">
        <f aca="false">COUNTA('Issue Log'!B6:B205)-COUNTIF('Issue Log'!H6:H205,"Resolved")</f>
        <v>0</v>
      </c>
    </row>
    <row r="14" customFormat="false" ht="15" hidden="false" customHeight="false" outlineLevel="0" collapsed="false">
      <c r="A14" s="4" t="s">
        <v>12</v>
      </c>
      <c r="B14" s="6" t="str">
        <f aca="false">IF(COUNT('Patch Log'!A6:A205)=0,"None",INDEX('Patch Log'!B6:B205,MATCH(MAX('Patch Log'!A6:A205),'Patch Log'!A6:A205,0)))</f>
        <v>1.128</v>
      </c>
    </row>
    <row r="15" customFormat="false" ht="15" hidden="false" customHeight="false" outlineLevel="0" collapsed="false">
      <c r="A15" s="4" t="s">
        <v>13</v>
      </c>
      <c r="B15" s="7" t="str">
        <f aca="false">IF(COUNT(Backups!A6:A205)=0,"None logged yet",MAX(Backups!A6:A205))</f>
        <v>None logged yet</v>
      </c>
    </row>
    <row r="16" customFormat="false" ht="15" hidden="false" customHeight="false" outlineLevel="0" collapsed="false">
      <c r="A16" s="4" t="s">
        <v>14</v>
      </c>
      <c r="B16" s="5" t="str">
        <f aca="true">IF(COUNT(Backups!A6:A205)=0,"",TODAY()-MAX(Backups!A6:A205))</f>
        <v/>
      </c>
    </row>
    <row r="18" customFormat="false" ht="15" hidden="false" customHeight="false" outlineLevel="0" collapsed="false">
      <c r="A18" s="3" t="s">
        <v>15</v>
      </c>
      <c r="B18" s="3"/>
    </row>
    <row r="19" customFormat="false" ht="15" hidden="false" customHeight="false" outlineLevel="0" collapsed="false">
      <c r="A19" s="8" t="s">
        <v>16</v>
      </c>
      <c r="B19" s="6" t="s">
        <v>17</v>
      </c>
    </row>
    <row r="20" customFormat="false" ht="15" hidden="false" customHeight="false" outlineLevel="0" collapsed="false">
      <c r="A20" s="9" t="s">
        <v>18</v>
      </c>
      <c r="B20" s="6" t="s">
        <v>19</v>
      </c>
    </row>
    <row r="21" customFormat="false" ht="15" hidden="false" customHeight="false" outlineLevel="0" collapsed="false">
      <c r="A21" s="4" t="s">
        <v>20</v>
      </c>
      <c r="B21" s="6" t="s">
        <v>21</v>
      </c>
    </row>
    <row r="22" customFormat="false" ht="15" hidden="false" customHeight="false" outlineLevel="0" collapsed="false">
      <c r="A22" s="4" t="s">
        <v>22</v>
      </c>
      <c r="B22" s="6" t="s">
        <v>23</v>
      </c>
    </row>
    <row r="24" customFormat="false" ht="15" hidden="false" customHeight="false" outlineLevel="0" collapsed="false">
      <c r="A24" s="3" t="s">
        <v>24</v>
      </c>
      <c r="B24" s="3"/>
    </row>
    <row r="25" customFormat="false" ht="15" hidden="false" customHeight="false" outlineLevel="0" collapsed="false">
      <c r="A25" s="10" t="s">
        <v>25</v>
      </c>
      <c r="B25" s="6" t="s">
        <v>26</v>
      </c>
    </row>
    <row r="26" customFormat="false" ht="35.05" hidden="false" customHeight="false" outlineLevel="0" collapsed="false">
      <c r="A26" s="10" t="s">
        <v>27</v>
      </c>
      <c r="B26" s="6" t="s">
        <v>28</v>
      </c>
    </row>
    <row r="27" customFormat="false" ht="23.85" hidden="false" customHeight="false" outlineLevel="0" collapsed="false">
      <c r="A27" s="10" t="s">
        <v>29</v>
      </c>
      <c r="B27" s="6" t="s">
        <v>30</v>
      </c>
    </row>
    <row r="28" customFormat="false" ht="23.85" hidden="false" customHeight="false" outlineLevel="0" collapsed="false">
      <c r="A28" s="10" t="s">
        <v>31</v>
      </c>
      <c r="B28" s="6" t="s">
        <v>32</v>
      </c>
    </row>
    <row r="29" customFormat="false" ht="23.85" hidden="false" customHeight="false" outlineLevel="0" collapsed="false">
      <c r="A29" s="10" t="s">
        <v>33</v>
      </c>
      <c r="B29" s="6" t="s">
        <v>34</v>
      </c>
    </row>
    <row r="30" customFormat="false" ht="15" hidden="false" customHeight="false" outlineLevel="0" collapsed="false">
      <c r="A30" s="10" t="s">
        <v>35</v>
      </c>
      <c r="B30" s="6" t="s">
        <v>36</v>
      </c>
    </row>
    <row r="32" customFormat="false" ht="15" hidden="false" customHeight="false" outlineLevel="0" collapsed="false">
      <c r="A32" s="3" t="s">
        <v>37</v>
      </c>
      <c r="B32" s="3"/>
    </row>
    <row r="33" customFormat="false" ht="15" hidden="false" customHeight="false" outlineLevel="0" collapsed="false">
      <c r="A33" s="10" t="s">
        <v>38</v>
      </c>
      <c r="B33" s="6" t="s">
        <v>39</v>
      </c>
    </row>
    <row r="34" customFormat="false" ht="23.85" hidden="false" customHeight="false" outlineLevel="0" collapsed="false">
      <c r="A34" s="10" t="s">
        <v>40</v>
      </c>
      <c r="B34" s="6" t="s">
        <v>41</v>
      </c>
    </row>
    <row r="35" customFormat="false" ht="15" hidden="false" customHeight="false" outlineLevel="0" collapsed="false">
      <c r="A35" s="10" t="s">
        <v>42</v>
      </c>
      <c r="B35" s="6" t="s">
        <v>43</v>
      </c>
    </row>
    <row r="36" customFormat="false" ht="15" hidden="false" customHeight="false" outlineLevel="0" collapsed="false">
      <c r="A36" s="10" t="s">
        <v>44</v>
      </c>
      <c r="B36" s="6" t="s">
        <v>45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C46"/>
    <pageSetUpPr fitToPage="true"/>
  </sheetPr>
  <dimension ref="A1:L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18"/>
    <col collapsed="false" customWidth="true" hidden="false" outlineLevel="0" max="4" min="4" style="0" width="13"/>
    <col collapsed="false" customWidth="true" hidden="false" outlineLevel="0" max="5" min="5" style="0" width="11"/>
    <col collapsed="false" customWidth="true" hidden="false" outlineLevel="0" max="7" min="6" style="0" width="14"/>
    <col collapsed="false" customWidth="true" hidden="false" outlineLevel="0" max="8" min="8" style="0" width="18"/>
    <col collapsed="false" customWidth="true" hidden="false" outlineLevel="0" max="9" min="9" style="0" width="13"/>
    <col collapsed="false" customWidth="true" hidden="false" outlineLevel="0" max="10" min="10" style="0" width="11"/>
    <col collapsed="false" customWidth="true" hidden="false" outlineLevel="0" max="11" min="11" style="0" width="16"/>
    <col collapsed="false" customWidth="true" hidden="false" outlineLevel="0" max="12" min="12" style="0" width="78"/>
  </cols>
  <sheetData>
    <row r="1" customFormat="false" ht="19.7" hidden="false" customHeight="false" outlineLevel="0" collapsed="false">
      <c r="A1" s="1" t="s">
        <v>46</v>
      </c>
    </row>
    <row r="2" customFormat="false" ht="15" hidden="false" customHeight="false" outlineLevel="0" collapsed="false">
      <c r="A2" s="2" t="s">
        <v>47</v>
      </c>
    </row>
    <row r="3" customFormat="false" ht="15" hidden="false" customHeight="false" outlineLevel="0" collapsed="false">
      <c r="A3" s="11" t="s">
        <v>48</v>
      </c>
      <c r="E3" s="12" t="n">
        <v>45</v>
      </c>
      <c r="F3" s="2" t="s">
        <v>49</v>
      </c>
    </row>
    <row r="5" customFormat="false" ht="30" hidden="false" customHeight="true" outlineLevel="0" collapsed="false">
      <c r="A5" s="13" t="s">
        <v>50</v>
      </c>
      <c r="B5" s="13" t="s">
        <v>51</v>
      </c>
      <c r="C5" s="13" t="s">
        <v>52</v>
      </c>
      <c r="D5" s="13" t="s">
        <v>53</v>
      </c>
      <c r="E5" s="13" t="s">
        <v>54</v>
      </c>
      <c r="F5" s="13" t="s">
        <v>55</v>
      </c>
      <c r="G5" s="13" t="s">
        <v>56</v>
      </c>
      <c r="H5" s="13" t="s">
        <v>57</v>
      </c>
      <c r="I5" s="13" t="s">
        <v>58</v>
      </c>
      <c r="J5" s="13" t="s">
        <v>59</v>
      </c>
      <c r="K5" s="13" t="s">
        <v>60</v>
      </c>
      <c r="L5" s="13" t="s">
        <v>61</v>
      </c>
    </row>
    <row r="6" customFormat="false" ht="23.85" hidden="false" customHeight="false" outlineLevel="0" collapsed="false">
      <c r="A6" s="14" t="s">
        <v>62</v>
      </c>
      <c r="B6" s="15" t="s">
        <v>63</v>
      </c>
      <c r="C6" s="14" t="s">
        <v>64</v>
      </c>
      <c r="D6" s="14" t="s">
        <v>65</v>
      </c>
      <c r="E6" s="14" t="s">
        <v>66</v>
      </c>
      <c r="F6" s="14" t="s">
        <v>67</v>
      </c>
      <c r="G6" s="16"/>
      <c r="H6" s="16"/>
      <c r="I6" s="17"/>
      <c r="J6" s="18" t="str">
        <f aca="true">IF(I6="","",TODAY()-I6)</f>
        <v/>
      </c>
      <c r="K6" s="14"/>
      <c r="L6" s="15" t="s">
        <v>68</v>
      </c>
    </row>
    <row r="7" customFormat="false" ht="15" hidden="false" customHeight="false" outlineLevel="0" collapsed="false">
      <c r="A7" s="14" t="s">
        <v>62</v>
      </c>
      <c r="B7" s="15" t="s">
        <v>69</v>
      </c>
      <c r="C7" s="14" t="s">
        <v>70</v>
      </c>
      <c r="D7" s="14" t="s">
        <v>65</v>
      </c>
      <c r="E7" s="14" t="s">
        <v>66</v>
      </c>
      <c r="F7" s="14" t="s">
        <v>67</v>
      </c>
      <c r="G7" s="16"/>
      <c r="H7" s="16"/>
      <c r="I7" s="17"/>
      <c r="J7" s="18" t="str">
        <f aca="true">IF(I7="","",TODAY()-I7)</f>
        <v/>
      </c>
      <c r="K7" s="14"/>
      <c r="L7" s="15" t="s">
        <v>71</v>
      </c>
    </row>
    <row r="8" customFormat="false" ht="23.85" hidden="false" customHeight="false" outlineLevel="0" collapsed="false">
      <c r="A8" s="14" t="s">
        <v>72</v>
      </c>
      <c r="B8" s="15" t="s">
        <v>73</v>
      </c>
      <c r="C8" s="14" t="s">
        <v>74</v>
      </c>
      <c r="D8" s="14" t="s">
        <v>75</v>
      </c>
      <c r="E8" s="14" t="s">
        <v>66</v>
      </c>
      <c r="F8" s="14" t="s">
        <v>67</v>
      </c>
      <c r="G8" s="16"/>
      <c r="H8" s="16"/>
      <c r="I8" s="17"/>
      <c r="J8" s="18" t="str">
        <f aca="true">IF(I8="","",TODAY()-I8)</f>
        <v/>
      </c>
      <c r="K8" s="19" t="s">
        <v>76</v>
      </c>
      <c r="L8" s="15" t="s">
        <v>77</v>
      </c>
    </row>
    <row r="9" customFormat="false" ht="23.85" hidden="false" customHeight="false" outlineLevel="0" collapsed="false">
      <c r="A9" s="14" t="s">
        <v>72</v>
      </c>
      <c r="B9" s="15" t="s">
        <v>78</v>
      </c>
      <c r="C9" s="14" t="s">
        <v>79</v>
      </c>
      <c r="D9" s="14" t="s">
        <v>75</v>
      </c>
      <c r="E9" s="14" t="s">
        <v>80</v>
      </c>
      <c r="F9" s="14" t="s">
        <v>67</v>
      </c>
      <c r="G9" s="16"/>
      <c r="H9" s="16"/>
      <c r="I9" s="17"/>
      <c r="J9" s="18" t="str">
        <f aca="true">IF(I9="","",TODAY()-I9)</f>
        <v/>
      </c>
      <c r="K9" s="14"/>
      <c r="L9" s="15" t="s">
        <v>81</v>
      </c>
    </row>
    <row r="10" customFormat="false" ht="15" hidden="false" customHeight="false" outlineLevel="0" collapsed="false">
      <c r="A10" s="14" t="s">
        <v>72</v>
      </c>
      <c r="B10" s="15" t="s">
        <v>82</v>
      </c>
      <c r="C10" s="14" t="s">
        <v>83</v>
      </c>
      <c r="D10" s="14" t="s">
        <v>75</v>
      </c>
      <c r="E10" s="14" t="s">
        <v>80</v>
      </c>
      <c r="F10" s="14" t="s">
        <v>67</v>
      </c>
      <c r="G10" s="16"/>
      <c r="H10" s="16"/>
      <c r="I10" s="17"/>
      <c r="J10" s="18" t="str">
        <f aca="true">IF(I10="","",TODAY()-I10)</f>
        <v/>
      </c>
      <c r="K10" s="14"/>
      <c r="L10" s="15" t="s">
        <v>84</v>
      </c>
    </row>
    <row r="11" customFormat="false" ht="15" hidden="false" customHeight="false" outlineLevel="0" collapsed="false">
      <c r="A11" s="14" t="s">
        <v>85</v>
      </c>
      <c r="B11" s="15" t="s">
        <v>86</v>
      </c>
      <c r="C11" s="14" t="s">
        <v>87</v>
      </c>
      <c r="D11" s="14" t="s">
        <v>88</v>
      </c>
      <c r="E11" s="14" t="s">
        <v>66</v>
      </c>
      <c r="F11" s="14" t="s">
        <v>67</v>
      </c>
      <c r="G11" s="16"/>
      <c r="H11" s="16"/>
      <c r="I11" s="17"/>
      <c r="J11" s="18" t="str">
        <f aca="true">IF(I11="","",TODAY()-I11)</f>
        <v/>
      </c>
      <c r="K11" s="14"/>
      <c r="L11" s="15" t="s">
        <v>89</v>
      </c>
    </row>
    <row r="12" customFormat="false" ht="15" hidden="false" customHeight="false" outlineLevel="0" collapsed="false">
      <c r="A12" s="14" t="s">
        <v>85</v>
      </c>
      <c r="B12" s="15" t="s">
        <v>90</v>
      </c>
      <c r="C12" s="14" t="s">
        <v>91</v>
      </c>
      <c r="D12" s="14" t="s">
        <v>88</v>
      </c>
      <c r="E12" s="14" t="s">
        <v>66</v>
      </c>
      <c r="F12" s="14" t="s">
        <v>67</v>
      </c>
      <c r="G12" s="16"/>
      <c r="H12" s="16"/>
      <c r="I12" s="17"/>
      <c r="J12" s="18" t="str">
        <f aca="true">IF(I12="","",TODAY()-I12)</f>
        <v/>
      </c>
      <c r="K12" s="14"/>
      <c r="L12" s="15" t="s">
        <v>92</v>
      </c>
    </row>
    <row r="13" customFormat="false" ht="15" hidden="false" customHeight="false" outlineLevel="0" collapsed="false">
      <c r="A13" s="14" t="s">
        <v>85</v>
      </c>
      <c r="B13" s="15" t="s">
        <v>93</v>
      </c>
      <c r="C13" s="14" t="s">
        <v>94</v>
      </c>
      <c r="D13" s="14" t="s">
        <v>88</v>
      </c>
      <c r="E13" s="14" t="s">
        <v>66</v>
      </c>
      <c r="F13" s="14" t="s">
        <v>67</v>
      </c>
      <c r="G13" s="16"/>
      <c r="H13" s="16"/>
      <c r="I13" s="17"/>
      <c r="J13" s="18" t="str">
        <f aca="true">IF(I13="","",TODAY()-I13)</f>
        <v/>
      </c>
      <c r="K13" s="14"/>
      <c r="L13" s="15" t="s">
        <v>95</v>
      </c>
    </row>
    <row r="14" customFormat="false" ht="15" hidden="false" customHeight="false" outlineLevel="0" collapsed="false">
      <c r="A14" s="14" t="s">
        <v>85</v>
      </c>
      <c r="B14" s="15" t="s">
        <v>96</v>
      </c>
      <c r="C14" s="14" t="s">
        <v>97</v>
      </c>
      <c r="D14" s="14" t="s">
        <v>88</v>
      </c>
      <c r="E14" s="14" t="s">
        <v>66</v>
      </c>
      <c r="F14" s="14" t="s">
        <v>67</v>
      </c>
      <c r="G14" s="16"/>
      <c r="H14" s="16"/>
      <c r="I14" s="17"/>
      <c r="J14" s="18" t="str">
        <f aca="true">IF(I14="","",TODAY()-I14)</f>
        <v/>
      </c>
      <c r="K14" s="14"/>
      <c r="L14" s="15" t="s">
        <v>98</v>
      </c>
    </row>
    <row r="15" customFormat="false" ht="15" hidden="false" customHeight="false" outlineLevel="0" collapsed="false">
      <c r="A15" s="14" t="s">
        <v>85</v>
      </c>
      <c r="B15" s="15" t="s">
        <v>99</v>
      </c>
      <c r="C15" s="14" t="s">
        <v>100</v>
      </c>
      <c r="D15" s="14" t="s">
        <v>88</v>
      </c>
      <c r="E15" s="14" t="s">
        <v>66</v>
      </c>
      <c r="F15" s="14" t="s">
        <v>67</v>
      </c>
      <c r="G15" s="16"/>
      <c r="H15" s="16"/>
      <c r="I15" s="17"/>
      <c r="J15" s="18" t="str">
        <f aca="true">IF(I15="","",TODAY()-I15)</f>
        <v/>
      </c>
      <c r="K15" s="14"/>
      <c r="L15" s="15" t="s">
        <v>101</v>
      </c>
    </row>
    <row r="16" customFormat="false" ht="15" hidden="false" customHeight="false" outlineLevel="0" collapsed="false">
      <c r="A16" s="14" t="s">
        <v>85</v>
      </c>
      <c r="B16" s="15" t="s">
        <v>102</v>
      </c>
      <c r="C16" s="14" t="s">
        <v>103</v>
      </c>
      <c r="D16" s="14" t="s">
        <v>88</v>
      </c>
      <c r="E16" s="14" t="s">
        <v>66</v>
      </c>
      <c r="F16" s="14" t="s">
        <v>67</v>
      </c>
      <c r="G16" s="16"/>
      <c r="H16" s="16"/>
      <c r="I16" s="17"/>
      <c r="J16" s="18" t="str">
        <f aca="true">IF(I16="","",TODAY()-I16)</f>
        <v/>
      </c>
      <c r="K16" s="14"/>
      <c r="L16" s="15" t="s">
        <v>104</v>
      </c>
    </row>
    <row r="17" customFormat="false" ht="15" hidden="false" customHeight="false" outlineLevel="0" collapsed="false">
      <c r="A17" s="14" t="s">
        <v>85</v>
      </c>
      <c r="B17" s="15" t="s">
        <v>105</v>
      </c>
      <c r="C17" s="14" t="s">
        <v>106</v>
      </c>
      <c r="D17" s="14" t="s">
        <v>88</v>
      </c>
      <c r="E17" s="14" t="s">
        <v>66</v>
      </c>
      <c r="F17" s="14" t="s">
        <v>67</v>
      </c>
      <c r="G17" s="16"/>
      <c r="H17" s="16"/>
      <c r="I17" s="17"/>
      <c r="J17" s="18" t="str">
        <f aca="true">IF(I17="","",TODAY()-I17)</f>
        <v/>
      </c>
      <c r="K17" s="14"/>
      <c r="L17" s="15" t="s">
        <v>107</v>
      </c>
    </row>
    <row r="18" customFormat="false" ht="23.85" hidden="false" customHeight="false" outlineLevel="0" collapsed="false">
      <c r="A18" s="14" t="s">
        <v>108</v>
      </c>
      <c r="B18" s="15" t="s">
        <v>109</v>
      </c>
      <c r="C18" s="14" t="s">
        <v>110</v>
      </c>
      <c r="D18" s="14" t="s">
        <v>111</v>
      </c>
      <c r="E18" s="14" t="s">
        <v>66</v>
      </c>
      <c r="F18" s="14" t="s">
        <v>67</v>
      </c>
      <c r="G18" s="16"/>
      <c r="H18" s="16"/>
      <c r="I18" s="17"/>
      <c r="J18" s="18" t="str">
        <f aca="true">IF(I18="","",TODAY()-I18)</f>
        <v/>
      </c>
      <c r="K18" s="19" t="s">
        <v>112</v>
      </c>
      <c r="L18" s="15" t="s">
        <v>113</v>
      </c>
    </row>
    <row r="19" customFormat="false" ht="15" hidden="false" customHeight="false" outlineLevel="0" collapsed="false">
      <c r="A19" s="14" t="s">
        <v>108</v>
      </c>
      <c r="B19" s="15" t="s">
        <v>114</v>
      </c>
      <c r="C19" s="14" t="s">
        <v>115</v>
      </c>
      <c r="D19" s="14" t="s">
        <v>111</v>
      </c>
      <c r="E19" s="14" t="s">
        <v>66</v>
      </c>
      <c r="F19" s="14" t="s">
        <v>67</v>
      </c>
      <c r="G19" s="16"/>
      <c r="H19" s="16"/>
      <c r="I19" s="17"/>
      <c r="J19" s="18" t="str">
        <f aca="true">IF(I19="","",TODAY()-I19)</f>
        <v/>
      </c>
      <c r="K19" s="19" t="s">
        <v>116</v>
      </c>
      <c r="L19" s="15" t="s">
        <v>117</v>
      </c>
    </row>
    <row r="20" customFormat="false" ht="15" hidden="false" customHeight="false" outlineLevel="0" collapsed="false">
      <c r="A20" s="14" t="s">
        <v>108</v>
      </c>
      <c r="B20" s="15" t="s">
        <v>118</v>
      </c>
      <c r="C20" s="14" t="s">
        <v>119</v>
      </c>
      <c r="D20" s="14" t="s">
        <v>111</v>
      </c>
      <c r="E20" s="14" t="s">
        <v>80</v>
      </c>
      <c r="F20" s="14" t="s">
        <v>67</v>
      </c>
      <c r="G20" s="16"/>
      <c r="H20" s="16"/>
      <c r="I20" s="17"/>
      <c r="J20" s="18" t="str">
        <f aca="true">IF(I20="","",TODAY()-I20)</f>
        <v/>
      </c>
      <c r="K20" s="19" t="s">
        <v>120</v>
      </c>
      <c r="L20" s="15" t="s">
        <v>121</v>
      </c>
    </row>
    <row r="21" customFormat="false" ht="15" hidden="false" customHeight="false" outlineLevel="0" collapsed="false">
      <c r="A21" s="14" t="s">
        <v>108</v>
      </c>
      <c r="B21" s="15" t="s">
        <v>122</v>
      </c>
      <c r="C21" s="14" t="s">
        <v>123</v>
      </c>
      <c r="D21" s="14" t="s">
        <v>124</v>
      </c>
      <c r="E21" s="14" t="s">
        <v>80</v>
      </c>
      <c r="F21" s="14" t="s">
        <v>67</v>
      </c>
      <c r="G21" s="16"/>
      <c r="H21" s="16"/>
      <c r="I21" s="17"/>
      <c r="J21" s="18" t="str">
        <f aca="true">IF(I21="","",TODAY()-I21)</f>
        <v/>
      </c>
      <c r="K21" s="14"/>
      <c r="L21" s="15" t="s">
        <v>125</v>
      </c>
    </row>
    <row r="22" customFormat="false" ht="15" hidden="false" customHeight="false" outlineLevel="0" collapsed="false">
      <c r="A22" s="14" t="s">
        <v>126</v>
      </c>
      <c r="B22" s="15" t="s">
        <v>127</v>
      </c>
      <c r="C22" s="14" t="s">
        <v>115</v>
      </c>
      <c r="D22" s="14" t="s">
        <v>124</v>
      </c>
      <c r="E22" s="14" t="s">
        <v>66</v>
      </c>
      <c r="F22" s="14" t="s">
        <v>67</v>
      </c>
      <c r="G22" s="16"/>
      <c r="H22" s="16"/>
      <c r="I22" s="17"/>
      <c r="J22" s="18" t="str">
        <f aca="true">IF(I22="","",TODAY()-I22)</f>
        <v/>
      </c>
      <c r="K22" s="14"/>
      <c r="L22" s="15" t="s">
        <v>128</v>
      </c>
    </row>
    <row r="23" customFormat="false" ht="23.85" hidden="false" customHeight="false" outlineLevel="0" collapsed="false">
      <c r="A23" s="14" t="s">
        <v>126</v>
      </c>
      <c r="B23" s="15" t="s">
        <v>129</v>
      </c>
      <c r="C23" s="14" t="s">
        <v>123</v>
      </c>
      <c r="D23" s="14" t="s">
        <v>124</v>
      </c>
      <c r="E23" s="14" t="s">
        <v>66</v>
      </c>
      <c r="F23" s="14" t="s">
        <v>67</v>
      </c>
      <c r="G23" s="16"/>
      <c r="H23" s="16"/>
      <c r="I23" s="17"/>
      <c r="J23" s="18" t="str">
        <f aca="true">IF(I23="","",TODAY()-I23)</f>
        <v/>
      </c>
      <c r="K23" s="14"/>
      <c r="L23" s="15" t="s">
        <v>130</v>
      </c>
    </row>
    <row r="24" customFormat="false" ht="15" hidden="false" customHeight="false" outlineLevel="0" collapsed="false">
      <c r="A24" s="14" t="s">
        <v>126</v>
      </c>
      <c r="B24" s="15" t="s">
        <v>131</v>
      </c>
      <c r="C24" s="14" t="s">
        <v>119</v>
      </c>
      <c r="D24" s="14" t="s">
        <v>124</v>
      </c>
      <c r="E24" s="14" t="s">
        <v>66</v>
      </c>
      <c r="F24" s="14" t="s">
        <v>67</v>
      </c>
      <c r="G24" s="16"/>
      <c r="H24" s="16"/>
      <c r="I24" s="17"/>
      <c r="J24" s="18" t="str">
        <f aca="true">IF(I24="","",TODAY()-I24)</f>
        <v/>
      </c>
      <c r="K24" s="14"/>
      <c r="L24" s="15" t="s">
        <v>132</v>
      </c>
    </row>
    <row r="25" customFormat="false" ht="15" hidden="false" customHeight="false" outlineLevel="0" collapsed="false">
      <c r="A25" s="14" t="s">
        <v>126</v>
      </c>
      <c r="B25" s="15" t="s">
        <v>133</v>
      </c>
      <c r="C25" s="14" t="s">
        <v>119</v>
      </c>
      <c r="D25" s="14" t="s">
        <v>124</v>
      </c>
      <c r="E25" s="14" t="s">
        <v>66</v>
      </c>
      <c r="F25" s="14" t="s">
        <v>67</v>
      </c>
      <c r="G25" s="16"/>
      <c r="H25" s="16"/>
      <c r="I25" s="17"/>
      <c r="J25" s="18" t="str">
        <f aca="true">IF(I25="","",TODAY()-I25)</f>
        <v/>
      </c>
      <c r="K25" s="14"/>
      <c r="L25" s="15" t="s">
        <v>132</v>
      </c>
    </row>
    <row r="26" customFormat="false" ht="15" hidden="false" customHeight="false" outlineLevel="0" collapsed="false">
      <c r="A26" s="14" t="s">
        <v>126</v>
      </c>
      <c r="B26" s="15" t="s">
        <v>134</v>
      </c>
      <c r="C26" s="14" t="s">
        <v>119</v>
      </c>
      <c r="D26" s="14" t="s">
        <v>124</v>
      </c>
      <c r="E26" s="14" t="s">
        <v>80</v>
      </c>
      <c r="F26" s="14" t="s">
        <v>67</v>
      </c>
      <c r="G26" s="16"/>
      <c r="H26" s="16"/>
      <c r="I26" s="17"/>
      <c r="J26" s="18" t="str">
        <f aca="true">IF(I26="","",TODAY()-I26)</f>
        <v/>
      </c>
      <c r="K26" s="19" t="s">
        <v>120</v>
      </c>
      <c r="L26" s="15" t="s">
        <v>135</v>
      </c>
    </row>
    <row r="27" customFormat="false" ht="23.85" hidden="false" customHeight="false" outlineLevel="0" collapsed="false">
      <c r="A27" s="14" t="s">
        <v>136</v>
      </c>
      <c r="B27" s="15" t="s">
        <v>137</v>
      </c>
      <c r="C27" s="14" t="s">
        <v>138</v>
      </c>
      <c r="D27" s="14" t="s">
        <v>139</v>
      </c>
      <c r="E27" s="14" t="s">
        <v>66</v>
      </c>
      <c r="F27" s="14" t="s">
        <v>67</v>
      </c>
      <c r="G27" s="16"/>
      <c r="H27" s="16"/>
      <c r="I27" s="17"/>
      <c r="J27" s="18" t="str">
        <f aca="true">IF(I27="","",TODAY()-I27)</f>
        <v/>
      </c>
      <c r="K27" s="19" t="s">
        <v>76</v>
      </c>
      <c r="L27" s="15" t="s">
        <v>140</v>
      </c>
    </row>
    <row r="28" customFormat="false" ht="23.85" hidden="false" customHeight="false" outlineLevel="0" collapsed="false">
      <c r="A28" s="14" t="s">
        <v>136</v>
      </c>
      <c r="B28" s="15" t="s">
        <v>141</v>
      </c>
      <c r="C28" s="14" t="s">
        <v>142</v>
      </c>
      <c r="D28" s="14" t="s">
        <v>139</v>
      </c>
      <c r="E28" s="14" t="s">
        <v>66</v>
      </c>
      <c r="F28" s="14" t="s">
        <v>67</v>
      </c>
      <c r="G28" s="16"/>
      <c r="H28" s="16"/>
      <c r="I28" s="17"/>
      <c r="J28" s="18" t="str">
        <f aca="true">IF(I28="","",TODAY()-I28)</f>
        <v/>
      </c>
      <c r="K28" s="19" t="s">
        <v>143</v>
      </c>
      <c r="L28" s="15" t="s">
        <v>144</v>
      </c>
    </row>
    <row r="29" customFormat="false" ht="15" hidden="false" customHeight="false" outlineLevel="0" collapsed="false">
      <c r="A29" s="14" t="s">
        <v>145</v>
      </c>
      <c r="B29" s="15" t="s">
        <v>146</v>
      </c>
      <c r="C29" s="14" t="s">
        <v>147</v>
      </c>
      <c r="D29" s="14" t="s">
        <v>148</v>
      </c>
      <c r="E29" s="14" t="s">
        <v>66</v>
      </c>
      <c r="F29" s="14" t="s">
        <v>67</v>
      </c>
      <c r="G29" s="16"/>
      <c r="H29" s="16"/>
      <c r="I29" s="17"/>
      <c r="J29" s="18" t="str">
        <f aca="true">IF(I29="","",TODAY()-I29)</f>
        <v/>
      </c>
      <c r="K29" s="14"/>
      <c r="L29" s="15" t="s">
        <v>149</v>
      </c>
    </row>
    <row r="30" customFormat="false" ht="15" hidden="false" customHeight="false" outlineLevel="0" collapsed="false">
      <c r="A30" s="14" t="s">
        <v>145</v>
      </c>
      <c r="B30" s="15" t="s">
        <v>150</v>
      </c>
      <c r="C30" s="14" t="s">
        <v>119</v>
      </c>
      <c r="D30" s="14" t="s">
        <v>151</v>
      </c>
      <c r="E30" s="14" t="s">
        <v>66</v>
      </c>
      <c r="F30" s="14" t="s">
        <v>67</v>
      </c>
      <c r="G30" s="16"/>
      <c r="H30" s="16"/>
      <c r="I30" s="17"/>
      <c r="J30" s="18" t="str">
        <f aca="true">IF(I30="","",TODAY()-I30)</f>
        <v/>
      </c>
      <c r="K30" s="14"/>
      <c r="L30" s="15" t="s">
        <v>152</v>
      </c>
    </row>
    <row r="31" customFormat="false" ht="15" hidden="false" customHeight="false" outlineLevel="0" collapsed="false">
      <c r="A31" s="14"/>
      <c r="B31" s="15"/>
      <c r="C31" s="14"/>
      <c r="D31" s="14"/>
      <c r="E31" s="14"/>
      <c r="F31" s="14"/>
      <c r="G31" s="14"/>
      <c r="H31" s="14"/>
      <c r="I31" s="20"/>
      <c r="J31" s="18" t="str">
        <f aca="true">IF(I31="","",TODAY()-I31)</f>
        <v/>
      </c>
      <c r="K31" s="14"/>
      <c r="L31" s="15"/>
    </row>
    <row r="32" customFormat="false" ht="15" hidden="false" customHeight="false" outlineLevel="0" collapsed="false">
      <c r="A32" s="14"/>
      <c r="B32" s="15"/>
      <c r="C32" s="14"/>
      <c r="D32" s="14"/>
      <c r="E32" s="14"/>
      <c r="F32" s="14"/>
      <c r="G32" s="14"/>
      <c r="H32" s="14"/>
      <c r="I32" s="20"/>
      <c r="J32" s="18" t="str">
        <f aca="true">IF(I32="","",TODAY()-I32)</f>
        <v/>
      </c>
      <c r="K32" s="14"/>
      <c r="L32" s="15"/>
    </row>
    <row r="33" customFormat="false" ht="15" hidden="false" customHeight="false" outlineLevel="0" collapsed="false">
      <c r="A33" s="14"/>
      <c r="B33" s="15"/>
      <c r="C33" s="14"/>
      <c r="D33" s="14"/>
      <c r="E33" s="14"/>
      <c r="F33" s="14"/>
      <c r="G33" s="14"/>
      <c r="H33" s="14"/>
      <c r="I33" s="20"/>
      <c r="J33" s="18" t="str">
        <f aca="true">IF(I33="","",TODAY()-I33)</f>
        <v/>
      </c>
      <c r="K33" s="14"/>
      <c r="L33" s="15"/>
    </row>
    <row r="34" customFormat="false" ht="15" hidden="false" customHeight="false" outlineLevel="0" collapsed="false">
      <c r="A34" s="14"/>
      <c r="B34" s="15"/>
      <c r="C34" s="14"/>
      <c r="D34" s="14"/>
      <c r="E34" s="14"/>
      <c r="F34" s="14"/>
      <c r="G34" s="14"/>
      <c r="H34" s="14"/>
      <c r="I34" s="20"/>
      <c r="J34" s="18" t="str">
        <f aca="true">IF(I34="","",TODAY()-I34)</f>
        <v/>
      </c>
      <c r="K34" s="14"/>
      <c r="L34" s="15"/>
    </row>
    <row r="35" customFormat="false" ht="15" hidden="false" customHeight="false" outlineLevel="0" collapsed="false">
      <c r="A35" s="14"/>
      <c r="B35" s="15"/>
      <c r="C35" s="14"/>
      <c r="D35" s="14"/>
      <c r="E35" s="14"/>
      <c r="F35" s="14"/>
      <c r="G35" s="14"/>
      <c r="H35" s="14"/>
      <c r="I35" s="20"/>
      <c r="J35" s="18" t="str">
        <f aca="true">IF(I35="","",TODAY()-I35)</f>
        <v/>
      </c>
      <c r="K35" s="14"/>
      <c r="L35" s="15"/>
    </row>
    <row r="36" customFormat="false" ht="15" hidden="false" customHeight="false" outlineLevel="0" collapsed="false">
      <c r="A36" s="14"/>
      <c r="B36" s="15"/>
      <c r="C36" s="14"/>
      <c r="D36" s="14"/>
      <c r="E36" s="14"/>
      <c r="F36" s="14"/>
      <c r="G36" s="14"/>
      <c r="H36" s="14"/>
      <c r="I36" s="20"/>
      <c r="J36" s="18" t="str">
        <f aca="true">IF(I36="","",TODAY()-I36)</f>
        <v/>
      </c>
      <c r="K36" s="14"/>
      <c r="L36" s="15"/>
    </row>
    <row r="37" customFormat="false" ht="15" hidden="false" customHeight="false" outlineLevel="0" collapsed="false">
      <c r="A37" s="14"/>
      <c r="B37" s="15"/>
      <c r="C37" s="14"/>
      <c r="D37" s="14"/>
      <c r="E37" s="14"/>
      <c r="F37" s="14"/>
      <c r="G37" s="14"/>
      <c r="H37" s="14"/>
      <c r="I37" s="20"/>
      <c r="J37" s="18" t="str">
        <f aca="true">IF(I37="","",TODAY()-I37)</f>
        <v/>
      </c>
      <c r="K37" s="14"/>
      <c r="L37" s="15"/>
    </row>
    <row r="38" customFormat="false" ht="15" hidden="false" customHeight="false" outlineLevel="0" collapsed="false">
      <c r="A38" s="14"/>
      <c r="B38" s="15"/>
      <c r="C38" s="14"/>
      <c r="D38" s="14"/>
      <c r="E38" s="14"/>
      <c r="F38" s="14"/>
      <c r="G38" s="14"/>
      <c r="H38" s="14"/>
      <c r="I38" s="20"/>
      <c r="J38" s="18" t="str">
        <f aca="true">IF(I38="","",TODAY()-I38)</f>
        <v/>
      </c>
      <c r="K38" s="14"/>
      <c r="L38" s="15"/>
    </row>
    <row r="39" customFormat="false" ht="15" hidden="false" customHeight="false" outlineLevel="0" collapsed="false">
      <c r="A39" s="14"/>
      <c r="B39" s="15"/>
      <c r="C39" s="14"/>
      <c r="D39" s="14"/>
      <c r="E39" s="14"/>
      <c r="F39" s="14"/>
      <c r="G39" s="14"/>
      <c r="H39" s="14"/>
      <c r="I39" s="20"/>
      <c r="J39" s="18" t="str">
        <f aca="true">IF(I39="","",TODAY()-I39)</f>
        <v/>
      </c>
      <c r="K39" s="14"/>
      <c r="L39" s="15"/>
    </row>
    <row r="40" customFormat="false" ht="15" hidden="false" customHeight="false" outlineLevel="0" collapsed="false">
      <c r="A40" s="14"/>
      <c r="B40" s="15"/>
      <c r="C40" s="14"/>
      <c r="D40" s="14"/>
      <c r="E40" s="14"/>
      <c r="F40" s="14"/>
      <c r="G40" s="14"/>
      <c r="H40" s="14"/>
      <c r="I40" s="20"/>
      <c r="J40" s="18" t="str">
        <f aca="true">IF(I40="","",TODAY()-I40)</f>
        <v/>
      </c>
      <c r="K40" s="14"/>
      <c r="L40" s="15"/>
    </row>
    <row r="41" customFormat="false" ht="15" hidden="false" customHeight="false" outlineLevel="0" collapsed="false">
      <c r="A41" s="14"/>
      <c r="B41" s="15"/>
      <c r="C41" s="14"/>
      <c r="D41" s="14"/>
      <c r="E41" s="14"/>
      <c r="F41" s="14"/>
      <c r="G41" s="14"/>
      <c r="H41" s="14"/>
      <c r="I41" s="20"/>
      <c r="J41" s="18" t="str">
        <f aca="true">IF(I41="","",TODAY()-I41)</f>
        <v/>
      </c>
      <c r="K41" s="14"/>
      <c r="L41" s="15"/>
    </row>
    <row r="42" customFormat="false" ht="15" hidden="false" customHeight="false" outlineLevel="0" collapsed="false">
      <c r="A42" s="14"/>
      <c r="B42" s="15"/>
      <c r="C42" s="14"/>
      <c r="D42" s="14"/>
      <c r="E42" s="14"/>
      <c r="F42" s="14"/>
      <c r="G42" s="14"/>
      <c r="H42" s="14"/>
      <c r="I42" s="20"/>
      <c r="J42" s="18" t="str">
        <f aca="true">IF(I42="","",TODAY()-I42)</f>
        <v/>
      </c>
      <c r="K42" s="14"/>
      <c r="L42" s="15"/>
    </row>
    <row r="43" customFormat="false" ht="15" hidden="false" customHeight="false" outlineLevel="0" collapsed="false">
      <c r="A43" s="14"/>
      <c r="B43" s="15"/>
      <c r="C43" s="14"/>
      <c r="D43" s="14"/>
      <c r="E43" s="14"/>
      <c r="F43" s="14"/>
      <c r="G43" s="14"/>
      <c r="H43" s="14"/>
      <c r="I43" s="20"/>
      <c r="J43" s="18" t="str">
        <f aca="true">IF(I43="","",TODAY()-I43)</f>
        <v/>
      </c>
      <c r="K43" s="14"/>
      <c r="L43" s="15"/>
    </row>
    <row r="44" customFormat="false" ht="15" hidden="false" customHeight="false" outlineLevel="0" collapsed="false">
      <c r="A44" s="14"/>
      <c r="B44" s="15"/>
      <c r="C44" s="14"/>
      <c r="D44" s="14"/>
      <c r="E44" s="14"/>
      <c r="F44" s="14"/>
      <c r="G44" s="14"/>
      <c r="H44" s="14"/>
      <c r="I44" s="20"/>
      <c r="J44" s="18" t="str">
        <f aca="true">IF(I44="","",TODAY()-I44)</f>
        <v/>
      </c>
      <c r="K44" s="14"/>
      <c r="L44" s="15"/>
    </row>
    <row r="45" customFormat="false" ht="15" hidden="false" customHeight="false" outlineLevel="0" collapsed="false">
      <c r="A45" s="14"/>
      <c r="B45" s="15"/>
      <c r="C45" s="14"/>
      <c r="D45" s="14"/>
      <c r="E45" s="14"/>
      <c r="F45" s="14"/>
      <c r="G45" s="14"/>
      <c r="H45" s="14"/>
      <c r="I45" s="20"/>
      <c r="J45" s="18" t="str">
        <f aca="true">IF(I45="","",TODAY()-I45)</f>
        <v/>
      </c>
      <c r="K45" s="14"/>
      <c r="L45" s="15"/>
    </row>
    <row r="46" customFormat="false" ht="15" hidden="false" customHeight="false" outlineLevel="0" collapsed="false">
      <c r="A46" s="14"/>
      <c r="B46" s="15"/>
      <c r="C46" s="14"/>
      <c r="D46" s="14"/>
      <c r="E46" s="14"/>
      <c r="F46" s="14"/>
      <c r="G46" s="14"/>
      <c r="H46" s="14"/>
      <c r="I46" s="20"/>
      <c r="J46" s="18" t="str">
        <f aca="true">IF(I46="","",TODAY()-I46)</f>
        <v/>
      </c>
      <c r="K46" s="14"/>
      <c r="L46" s="15"/>
    </row>
    <row r="47" customFormat="false" ht="15" hidden="false" customHeight="false" outlineLevel="0" collapsed="false">
      <c r="A47" s="14"/>
      <c r="B47" s="15"/>
      <c r="C47" s="14"/>
      <c r="D47" s="14"/>
      <c r="E47" s="14"/>
      <c r="F47" s="14"/>
      <c r="G47" s="14"/>
      <c r="H47" s="14"/>
      <c r="I47" s="20"/>
      <c r="J47" s="18" t="str">
        <f aca="true">IF(I47="","",TODAY()-I47)</f>
        <v/>
      </c>
      <c r="K47" s="14"/>
      <c r="L47" s="15"/>
    </row>
    <row r="48" customFormat="false" ht="15" hidden="false" customHeight="false" outlineLevel="0" collapsed="false">
      <c r="A48" s="14"/>
      <c r="B48" s="15"/>
      <c r="C48" s="14"/>
      <c r="D48" s="14"/>
      <c r="E48" s="14"/>
      <c r="F48" s="14"/>
      <c r="G48" s="14"/>
      <c r="H48" s="14"/>
      <c r="I48" s="20"/>
      <c r="J48" s="18" t="str">
        <f aca="true">IF(I48="","",TODAY()-I48)</f>
        <v/>
      </c>
      <c r="K48" s="14"/>
      <c r="L48" s="15"/>
    </row>
    <row r="49" customFormat="false" ht="15" hidden="false" customHeight="false" outlineLevel="0" collapsed="false">
      <c r="A49" s="14"/>
      <c r="B49" s="15"/>
      <c r="C49" s="14"/>
      <c r="D49" s="14"/>
      <c r="E49" s="14"/>
      <c r="F49" s="14"/>
      <c r="G49" s="14"/>
      <c r="H49" s="14"/>
      <c r="I49" s="20"/>
      <c r="J49" s="18" t="str">
        <f aca="true">IF(I49="","",TODAY()-I49)</f>
        <v/>
      </c>
      <c r="K49" s="14"/>
      <c r="L49" s="15"/>
    </row>
    <row r="50" customFormat="false" ht="15" hidden="false" customHeight="false" outlineLevel="0" collapsed="false">
      <c r="A50" s="14"/>
      <c r="B50" s="15"/>
      <c r="C50" s="14"/>
      <c r="D50" s="14"/>
      <c r="E50" s="14"/>
      <c r="F50" s="14"/>
      <c r="G50" s="14"/>
      <c r="H50" s="14"/>
      <c r="I50" s="20"/>
      <c r="J50" s="18" t="str">
        <f aca="true">IF(I50="","",TODAY()-I50)</f>
        <v/>
      </c>
      <c r="K50" s="14"/>
      <c r="L50" s="15"/>
    </row>
    <row r="51" customFormat="false" ht="15" hidden="false" customHeight="false" outlineLevel="0" collapsed="false">
      <c r="A51" s="14"/>
      <c r="B51" s="15"/>
      <c r="C51" s="14"/>
      <c r="D51" s="14"/>
      <c r="E51" s="14"/>
      <c r="F51" s="14"/>
      <c r="G51" s="14"/>
      <c r="H51" s="14"/>
      <c r="I51" s="20"/>
      <c r="J51" s="18" t="str">
        <f aca="true">IF(I51="","",TODAY()-I51)</f>
        <v/>
      </c>
      <c r="K51" s="14"/>
      <c r="L51" s="15"/>
    </row>
    <row r="52" customFormat="false" ht="15" hidden="false" customHeight="false" outlineLevel="0" collapsed="false">
      <c r="A52" s="14"/>
      <c r="B52" s="15"/>
      <c r="C52" s="14"/>
      <c r="D52" s="14"/>
      <c r="E52" s="14"/>
      <c r="F52" s="14"/>
      <c r="G52" s="14"/>
      <c r="H52" s="14"/>
      <c r="I52" s="20"/>
      <c r="J52" s="18" t="str">
        <f aca="true">IF(I52="","",TODAY()-I52)</f>
        <v/>
      </c>
      <c r="K52" s="14"/>
      <c r="L52" s="15"/>
    </row>
    <row r="53" customFormat="false" ht="15" hidden="false" customHeight="false" outlineLevel="0" collapsed="false">
      <c r="A53" s="14"/>
      <c r="B53" s="15"/>
      <c r="C53" s="14"/>
      <c r="D53" s="14"/>
      <c r="E53" s="14"/>
      <c r="F53" s="14"/>
      <c r="G53" s="14"/>
      <c r="H53" s="14"/>
      <c r="I53" s="20"/>
      <c r="J53" s="18" t="str">
        <f aca="true">IF(I53="","",TODAY()-I53)</f>
        <v/>
      </c>
      <c r="K53" s="14"/>
      <c r="L53" s="15"/>
    </row>
    <row r="54" customFormat="false" ht="15" hidden="false" customHeight="false" outlineLevel="0" collapsed="false">
      <c r="A54" s="14"/>
      <c r="B54" s="15"/>
      <c r="C54" s="14"/>
      <c r="D54" s="14"/>
      <c r="E54" s="14"/>
      <c r="F54" s="14"/>
      <c r="G54" s="14"/>
      <c r="H54" s="14"/>
      <c r="I54" s="20"/>
      <c r="J54" s="18" t="str">
        <f aca="true">IF(I54="","",TODAY()-I54)</f>
        <v/>
      </c>
      <c r="K54" s="14"/>
      <c r="L54" s="15"/>
    </row>
    <row r="55" customFormat="false" ht="15" hidden="false" customHeight="false" outlineLevel="0" collapsed="false">
      <c r="A55" s="14"/>
      <c r="B55" s="15"/>
      <c r="C55" s="14"/>
      <c r="D55" s="14"/>
      <c r="E55" s="14"/>
      <c r="F55" s="14"/>
      <c r="G55" s="14"/>
      <c r="H55" s="14"/>
      <c r="I55" s="20"/>
      <c r="J55" s="18" t="str">
        <f aca="true">IF(I55="","",TODAY()-I55)</f>
        <v/>
      </c>
      <c r="K55" s="14"/>
      <c r="L55" s="15"/>
    </row>
    <row r="56" customFormat="false" ht="15" hidden="false" customHeight="false" outlineLevel="0" collapsed="false">
      <c r="A56" s="14"/>
      <c r="B56" s="15"/>
      <c r="C56" s="14"/>
      <c r="D56" s="14"/>
      <c r="E56" s="14"/>
      <c r="F56" s="14"/>
      <c r="G56" s="14"/>
      <c r="H56" s="14"/>
      <c r="I56" s="20"/>
      <c r="J56" s="18" t="str">
        <f aca="true">IF(I56="","",TODAY()-I56)</f>
        <v/>
      </c>
      <c r="K56" s="14"/>
      <c r="L56" s="15"/>
    </row>
    <row r="57" customFormat="false" ht="15" hidden="false" customHeight="false" outlineLevel="0" collapsed="false">
      <c r="A57" s="14"/>
      <c r="B57" s="15"/>
      <c r="C57" s="14"/>
      <c r="D57" s="14"/>
      <c r="E57" s="14"/>
      <c r="F57" s="14"/>
      <c r="G57" s="14"/>
      <c r="H57" s="14"/>
      <c r="I57" s="20"/>
      <c r="J57" s="18" t="str">
        <f aca="true">IF(I57="","",TODAY()-I57)</f>
        <v/>
      </c>
      <c r="K57" s="14"/>
      <c r="L57" s="15"/>
    </row>
    <row r="58" customFormat="false" ht="15" hidden="false" customHeight="false" outlineLevel="0" collapsed="false">
      <c r="A58" s="14"/>
      <c r="B58" s="15"/>
      <c r="C58" s="14"/>
      <c r="D58" s="14"/>
      <c r="E58" s="14"/>
      <c r="F58" s="14"/>
      <c r="G58" s="14"/>
      <c r="H58" s="14"/>
      <c r="I58" s="20"/>
      <c r="J58" s="18" t="str">
        <f aca="true">IF(I58="","",TODAY()-I58)</f>
        <v/>
      </c>
      <c r="K58" s="14"/>
      <c r="L58" s="15"/>
    </row>
    <row r="59" customFormat="false" ht="15" hidden="false" customHeight="false" outlineLevel="0" collapsed="false">
      <c r="A59" s="14"/>
      <c r="B59" s="15"/>
      <c r="C59" s="14"/>
      <c r="D59" s="14"/>
      <c r="E59" s="14"/>
      <c r="F59" s="14"/>
      <c r="G59" s="14"/>
      <c r="H59" s="14"/>
      <c r="I59" s="20"/>
      <c r="J59" s="18" t="str">
        <f aca="true">IF(I59="","",TODAY()-I59)</f>
        <v/>
      </c>
      <c r="K59" s="14"/>
      <c r="L59" s="15"/>
    </row>
    <row r="60" customFormat="false" ht="15" hidden="false" customHeight="false" outlineLevel="0" collapsed="false">
      <c r="A60" s="14"/>
      <c r="B60" s="15"/>
      <c r="C60" s="14"/>
      <c r="D60" s="14"/>
      <c r="E60" s="14"/>
      <c r="F60" s="14"/>
      <c r="G60" s="14"/>
      <c r="H60" s="14"/>
      <c r="I60" s="20"/>
      <c r="J60" s="18" t="str">
        <f aca="true">IF(I60="","",TODAY()-I60)</f>
        <v/>
      </c>
      <c r="K60" s="14"/>
      <c r="L60" s="15"/>
    </row>
    <row r="61" customFormat="false" ht="15" hidden="false" customHeight="false" outlineLevel="0" collapsed="false">
      <c r="A61" s="14"/>
      <c r="B61" s="15"/>
      <c r="C61" s="14"/>
      <c r="D61" s="14"/>
      <c r="E61" s="14"/>
      <c r="F61" s="14"/>
      <c r="G61" s="14"/>
      <c r="H61" s="14"/>
      <c r="I61" s="20"/>
      <c r="J61" s="18" t="str">
        <f aca="true">IF(I61="","",TODAY()-I61)</f>
        <v/>
      </c>
      <c r="K61" s="14"/>
      <c r="L61" s="15"/>
    </row>
    <row r="62" customFormat="false" ht="15" hidden="false" customHeight="false" outlineLevel="0" collapsed="false">
      <c r="A62" s="14"/>
      <c r="B62" s="15"/>
      <c r="C62" s="14"/>
      <c r="D62" s="14"/>
      <c r="E62" s="14"/>
      <c r="F62" s="14"/>
      <c r="G62" s="14"/>
      <c r="H62" s="14"/>
      <c r="I62" s="20"/>
      <c r="J62" s="18" t="str">
        <f aca="true">IF(I62="","",TODAY()-I62)</f>
        <v/>
      </c>
      <c r="K62" s="14"/>
      <c r="L62" s="15"/>
    </row>
    <row r="63" customFormat="false" ht="15" hidden="false" customHeight="false" outlineLevel="0" collapsed="false">
      <c r="A63" s="14"/>
      <c r="B63" s="15"/>
      <c r="C63" s="14"/>
      <c r="D63" s="14"/>
      <c r="E63" s="14"/>
      <c r="F63" s="14"/>
      <c r="G63" s="14"/>
      <c r="H63" s="14"/>
      <c r="I63" s="20"/>
      <c r="J63" s="18" t="str">
        <f aca="true">IF(I63="","",TODAY()-I63)</f>
        <v/>
      </c>
      <c r="K63" s="14"/>
      <c r="L63" s="15"/>
    </row>
    <row r="64" customFormat="false" ht="15" hidden="false" customHeight="false" outlineLevel="0" collapsed="false">
      <c r="A64" s="14"/>
      <c r="B64" s="15"/>
      <c r="C64" s="14"/>
      <c r="D64" s="14"/>
      <c r="E64" s="14"/>
      <c r="F64" s="14"/>
      <c r="G64" s="14"/>
      <c r="H64" s="14"/>
      <c r="I64" s="20"/>
      <c r="J64" s="18" t="str">
        <f aca="true">IF(I64="","",TODAY()-I64)</f>
        <v/>
      </c>
      <c r="K64" s="14"/>
      <c r="L64" s="15"/>
    </row>
    <row r="65" customFormat="false" ht="15" hidden="false" customHeight="false" outlineLevel="0" collapsed="false">
      <c r="A65" s="14"/>
      <c r="B65" s="15"/>
      <c r="C65" s="14"/>
      <c r="D65" s="14"/>
      <c r="E65" s="14"/>
      <c r="F65" s="14"/>
      <c r="G65" s="14"/>
      <c r="H65" s="14"/>
      <c r="I65" s="20"/>
      <c r="J65" s="18" t="str">
        <f aca="true">IF(I65="","",TODAY()-I65)</f>
        <v/>
      </c>
      <c r="K65" s="14"/>
      <c r="L65" s="15"/>
    </row>
    <row r="66" customFormat="false" ht="15" hidden="false" customHeight="false" outlineLevel="0" collapsed="false">
      <c r="A66" s="14"/>
      <c r="B66" s="15"/>
      <c r="C66" s="14"/>
      <c r="D66" s="14"/>
      <c r="E66" s="14"/>
      <c r="F66" s="14"/>
      <c r="G66" s="14"/>
      <c r="H66" s="14"/>
      <c r="I66" s="20"/>
      <c r="J66" s="18" t="str">
        <f aca="true">IF(I66="","",TODAY()-I66)</f>
        <v/>
      </c>
      <c r="K66" s="14"/>
      <c r="L66" s="15"/>
    </row>
    <row r="67" customFormat="false" ht="15" hidden="false" customHeight="false" outlineLevel="0" collapsed="false">
      <c r="A67" s="14"/>
      <c r="B67" s="15"/>
      <c r="C67" s="14"/>
      <c r="D67" s="14"/>
      <c r="E67" s="14"/>
      <c r="F67" s="14"/>
      <c r="G67" s="14"/>
      <c r="H67" s="14"/>
      <c r="I67" s="20"/>
      <c r="J67" s="18" t="str">
        <f aca="true">IF(I67="","",TODAY()-I67)</f>
        <v/>
      </c>
      <c r="K67" s="14"/>
      <c r="L67" s="15"/>
    </row>
    <row r="68" customFormat="false" ht="15" hidden="false" customHeight="false" outlineLevel="0" collapsed="false">
      <c r="A68" s="14"/>
      <c r="B68" s="15"/>
      <c r="C68" s="14"/>
      <c r="D68" s="14"/>
      <c r="E68" s="14"/>
      <c r="F68" s="14"/>
      <c r="G68" s="14"/>
      <c r="H68" s="14"/>
      <c r="I68" s="20"/>
      <c r="J68" s="18" t="str">
        <f aca="true">IF(I68="","",TODAY()-I68)</f>
        <v/>
      </c>
      <c r="K68" s="14"/>
      <c r="L68" s="15"/>
    </row>
    <row r="69" customFormat="false" ht="15" hidden="false" customHeight="false" outlineLevel="0" collapsed="false">
      <c r="A69" s="14"/>
      <c r="B69" s="15"/>
      <c r="C69" s="14"/>
      <c r="D69" s="14"/>
      <c r="E69" s="14"/>
      <c r="F69" s="14"/>
      <c r="G69" s="14"/>
      <c r="H69" s="14"/>
      <c r="I69" s="20"/>
      <c r="J69" s="18" t="str">
        <f aca="true">IF(I69="","",TODAY()-I69)</f>
        <v/>
      </c>
      <c r="K69" s="14"/>
      <c r="L69" s="15"/>
    </row>
    <row r="70" customFormat="false" ht="15" hidden="false" customHeight="false" outlineLevel="0" collapsed="false">
      <c r="A70" s="14"/>
      <c r="B70" s="15"/>
      <c r="C70" s="14"/>
      <c r="D70" s="14"/>
      <c r="E70" s="14"/>
      <c r="F70" s="14"/>
      <c r="G70" s="14"/>
      <c r="H70" s="14"/>
      <c r="I70" s="20"/>
      <c r="J70" s="18" t="str">
        <f aca="true">IF(I70="","",TODAY()-I70)</f>
        <v/>
      </c>
      <c r="K70" s="14"/>
      <c r="L70" s="15"/>
    </row>
    <row r="71" customFormat="false" ht="15" hidden="false" customHeight="false" outlineLevel="0" collapsed="false">
      <c r="A71" s="14"/>
      <c r="B71" s="15"/>
      <c r="C71" s="14"/>
      <c r="D71" s="14"/>
      <c r="E71" s="14"/>
      <c r="F71" s="14"/>
      <c r="G71" s="14"/>
      <c r="H71" s="14"/>
      <c r="I71" s="20"/>
      <c r="J71" s="18" t="str">
        <f aca="true">IF(I71="","",TODAY()-I71)</f>
        <v/>
      </c>
      <c r="K71" s="14"/>
      <c r="L71" s="15"/>
    </row>
    <row r="72" customFormat="false" ht="15" hidden="false" customHeight="false" outlineLevel="0" collapsed="false">
      <c r="A72" s="14"/>
      <c r="B72" s="15"/>
      <c r="C72" s="14"/>
      <c r="D72" s="14"/>
      <c r="E72" s="14"/>
      <c r="F72" s="14"/>
      <c r="G72" s="14"/>
      <c r="H72" s="14"/>
      <c r="I72" s="20"/>
      <c r="J72" s="18" t="str">
        <f aca="true">IF(I72="","",TODAY()-I72)</f>
        <v/>
      </c>
      <c r="K72" s="14"/>
      <c r="L72" s="15"/>
    </row>
    <row r="73" customFormat="false" ht="15" hidden="false" customHeight="false" outlineLevel="0" collapsed="false">
      <c r="A73" s="14"/>
      <c r="B73" s="15"/>
      <c r="C73" s="14"/>
      <c r="D73" s="14"/>
      <c r="E73" s="14"/>
      <c r="F73" s="14"/>
      <c r="G73" s="14"/>
      <c r="H73" s="14"/>
      <c r="I73" s="20"/>
      <c r="J73" s="18" t="str">
        <f aca="true">IF(I73="","",TODAY()-I73)</f>
        <v/>
      </c>
      <c r="K73" s="14"/>
      <c r="L73" s="15"/>
    </row>
    <row r="74" customFormat="false" ht="15" hidden="false" customHeight="false" outlineLevel="0" collapsed="false">
      <c r="A74" s="14"/>
      <c r="B74" s="15"/>
      <c r="C74" s="14"/>
      <c r="D74" s="14"/>
      <c r="E74" s="14"/>
      <c r="F74" s="14"/>
      <c r="G74" s="14"/>
      <c r="H74" s="14"/>
      <c r="I74" s="20"/>
      <c r="J74" s="18" t="str">
        <f aca="true">IF(I74="","",TODAY()-I74)</f>
        <v/>
      </c>
      <c r="K74" s="14"/>
      <c r="L74" s="15"/>
    </row>
    <row r="75" customFormat="false" ht="15" hidden="false" customHeight="false" outlineLevel="0" collapsed="false">
      <c r="A75" s="14"/>
      <c r="B75" s="15"/>
      <c r="C75" s="14"/>
      <c r="D75" s="14"/>
      <c r="E75" s="14"/>
      <c r="F75" s="14"/>
      <c r="G75" s="14"/>
      <c r="H75" s="14"/>
      <c r="I75" s="20"/>
      <c r="J75" s="18" t="str">
        <f aca="true">IF(I75="","",TODAY()-I75)</f>
        <v/>
      </c>
      <c r="K75" s="14"/>
      <c r="L75" s="15"/>
    </row>
    <row r="76" customFormat="false" ht="15" hidden="false" customHeight="false" outlineLevel="0" collapsed="false">
      <c r="A76" s="14"/>
      <c r="B76" s="15"/>
      <c r="C76" s="14"/>
      <c r="D76" s="14"/>
      <c r="E76" s="14"/>
      <c r="F76" s="14"/>
      <c r="G76" s="14"/>
      <c r="H76" s="14"/>
      <c r="I76" s="20"/>
      <c r="J76" s="18" t="str">
        <f aca="true">IF(I76="","",TODAY()-I76)</f>
        <v/>
      </c>
      <c r="K76" s="14"/>
      <c r="L76" s="15"/>
    </row>
    <row r="77" customFormat="false" ht="15" hidden="false" customHeight="false" outlineLevel="0" collapsed="false">
      <c r="A77" s="14"/>
      <c r="B77" s="15"/>
      <c r="C77" s="14"/>
      <c r="D77" s="14"/>
      <c r="E77" s="14"/>
      <c r="F77" s="14"/>
      <c r="G77" s="14"/>
      <c r="H77" s="14"/>
      <c r="I77" s="20"/>
      <c r="J77" s="18" t="str">
        <f aca="true">IF(I77="","",TODAY()-I77)</f>
        <v/>
      </c>
      <c r="K77" s="14"/>
      <c r="L77" s="15"/>
    </row>
    <row r="78" customFormat="false" ht="15" hidden="false" customHeight="false" outlineLevel="0" collapsed="false">
      <c r="A78" s="14"/>
      <c r="B78" s="15"/>
      <c r="C78" s="14"/>
      <c r="D78" s="14"/>
      <c r="E78" s="14"/>
      <c r="F78" s="14"/>
      <c r="G78" s="14"/>
      <c r="H78" s="14"/>
      <c r="I78" s="20"/>
      <c r="J78" s="18" t="str">
        <f aca="true">IF(I78="","",TODAY()-I78)</f>
        <v/>
      </c>
      <c r="K78" s="14"/>
      <c r="L78" s="15"/>
    </row>
    <row r="79" customFormat="false" ht="15" hidden="false" customHeight="false" outlineLevel="0" collapsed="false">
      <c r="A79" s="14"/>
      <c r="B79" s="15"/>
      <c r="C79" s="14"/>
      <c r="D79" s="14"/>
      <c r="E79" s="14"/>
      <c r="F79" s="14"/>
      <c r="G79" s="14"/>
      <c r="H79" s="14"/>
      <c r="I79" s="20"/>
      <c r="J79" s="18" t="str">
        <f aca="true">IF(I79="","",TODAY()-I79)</f>
        <v/>
      </c>
      <c r="K79" s="14"/>
      <c r="L79" s="15"/>
    </row>
    <row r="80" customFormat="false" ht="15" hidden="false" customHeight="false" outlineLevel="0" collapsed="false">
      <c r="A80" s="14"/>
      <c r="B80" s="15"/>
      <c r="C80" s="14"/>
      <c r="D80" s="14"/>
      <c r="E80" s="14"/>
      <c r="F80" s="14"/>
      <c r="G80" s="14"/>
      <c r="H80" s="14"/>
      <c r="I80" s="20"/>
      <c r="J80" s="18" t="str">
        <f aca="true">IF(I80="","",TODAY()-I80)</f>
        <v/>
      </c>
      <c r="K80" s="14"/>
      <c r="L80" s="15"/>
    </row>
    <row r="81" customFormat="false" ht="15" hidden="false" customHeight="false" outlineLevel="0" collapsed="false">
      <c r="A81" s="14"/>
      <c r="B81" s="15"/>
      <c r="C81" s="14"/>
      <c r="D81" s="14"/>
      <c r="E81" s="14"/>
      <c r="F81" s="14"/>
      <c r="G81" s="14"/>
      <c r="H81" s="14"/>
      <c r="I81" s="20"/>
      <c r="J81" s="18" t="str">
        <f aca="true">IF(I81="","",TODAY()-I81)</f>
        <v/>
      </c>
      <c r="K81" s="14"/>
      <c r="L81" s="15"/>
    </row>
    <row r="82" customFormat="false" ht="15" hidden="false" customHeight="false" outlineLevel="0" collapsed="false">
      <c r="A82" s="14"/>
      <c r="B82" s="15"/>
      <c r="C82" s="14"/>
      <c r="D82" s="14"/>
      <c r="E82" s="14"/>
      <c r="F82" s="14"/>
      <c r="G82" s="14"/>
      <c r="H82" s="14"/>
      <c r="I82" s="20"/>
      <c r="J82" s="18" t="str">
        <f aca="true">IF(I82="","",TODAY()-I82)</f>
        <v/>
      </c>
      <c r="K82" s="14"/>
      <c r="L82" s="15"/>
    </row>
    <row r="83" customFormat="false" ht="15" hidden="false" customHeight="false" outlineLevel="0" collapsed="false">
      <c r="A83" s="14"/>
      <c r="B83" s="15"/>
      <c r="C83" s="14"/>
      <c r="D83" s="14"/>
      <c r="E83" s="14"/>
      <c r="F83" s="14"/>
      <c r="G83" s="14"/>
      <c r="H83" s="14"/>
      <c r="I83" s="20"/>
      <c r="J83" s="18" t="str">
        <f aca="true">IF(I83="","",TODAY()-I83)</f>
        <v/>
      </c>
      <c r="K83" s="14"/>
      <c r="L83" s="15"/>
    </row>
    <row r="84" customFormat="false" ht="15" hidden="false" customHeight="false" outlineLevel="0" collapsed="false">
      <c r="A84" s="14"/>
      <c r="B84" s="15"/>
      <c r="C84" s="14"/>
      <c r="D84" s="14"/>
      <c r="E84" s="14"/>
      <c r="F84" s="14"/>
      <c r="G84" s="14"/>
      <c r="H84" s="14"/>
      <c r="I84" s="20"/>
      <c r="J84" s="18" t="str">
        <f aca="true">IF(I84="","",TODAY()-I84)</f>
        <v/>
      </c>
      <c r="K84" s="14"/>
      <c r="L84" s="15"/>
    </row>
    <row r="85" customFormat="false" ht="15" hidden="false" customHeight="false" outlineLevel="0" collapsed="false">
      <c r="A85" s="14"/>
      <c r="B85" s="15"/>
      <c r="C85" s="14"/>
      <c r="D85" s="14"/>
      <c r="E85" s="14"/>
      <c r="F85" s="14"/>
      <c r="G85" s="14"/>
      <c r="H85" s="14"/>
      <c r="I85" s="20"/>
      <c r="J85" s="18" t="str">
        <f aca="true">IF(I85="","",TODAY()-I85)</f>
        <v/>
      </c>
      <c r="K85" s="14"/>
      <c r="L85" s="15"/>
    </row>
    <row r="86" customFormat="false" ht="15" hidden="false" customHeight="false" outlineLevel="0" collapsed="false">
      <c r="A86" s="14"/>
      <c r="B86" s="15"/>
      <c r="C86" s="14"/>
      <c r="D86" s="14"/>
      <c r="E86" s="14"/>
      <c r="F86" s="14"/>
      <c r="G86" s="14"/>
      <c r="H86" s="14"/>
      <c r="I86" s="20"/>
      <c r="J86" s="18" t="str">
        <f aca="true">IF(I86="","",TODAY()-I86)</f>
        <v/>
      </c>
      <c r="K86" s="14"/>
      <c r="L86" s="15"/>
    </row>
    <row r="87" customFormat="false" ht="15" hidden="false" customHeight="false" outlineLevel="0" collapsed="false">
      <c r="A87" s="14"/>
      <c r="B87" s="15"/>
      <c r="C87" s="14"/>
      <c r="D87" s="14"/>
      <c r="E87" s="14"/>
      <c r="F87" s="14"/>
      <c r="G87" s="14"/>
      <c r="H87" s="14"/>
      <c r="I87" s="20"/>
      <c r="J87" s="18" t="str">
        <f aca="true">IF(I87="","",TODAY()-I87)</f>
        <v/>
      </c>
      <c r="K87" s="14"/>
      <c r="L87" s="15"/>
    </row>
    <row r="88" customFormat="false" ht="15" hidden="false" customHeight="false" outlineLevel="0" collapsed="false">
      <c r="A88" s="14"/>
      <c r="B88" s="15"/>
      <c r="C88" s="14"/>
      <c r="D88" s="14"/>
      <c r="E88" s="14"/>
      <c r="F88" s="14"/>
      <c r="G88" s="14"/>
      <c r="H88" s="14"/>
      <c r="I88" s="20"/>
      <c r="J88" s="18" t="str">
        <f aca="true">IF(I88="","",TODAY()-I88)</f>
        <v/>
      </c>
      <c r="K88" s="14"/>
      <c r="L88" s="15"/>
    </row>
    <row r="89" customFormat="false" ht="15" hidden="false" customHeight="false" outlineLevel="0" collapsed="false">
      <c r="A89" s="14"/>
      <c r="B89" s="15"/>
      <c r="C89" s="14"/>
      <c r="D89" s="14"/>
      <c r="E89" s="14"/>
      <c r="F89" s="14"/>
      <c r="G89" s="14"/>
      <c r="H89" s="14"/>
      <c r="I89" s="20"/>
      <c r="J89" s="18" t="str">
        <f aca="true">IF(I89="","",TODAY()-I89)</f>
        <v/>
      </c>
      <c r="K89" s="14"/>
      <c r="L89" s="15"/>
    </row>
    <row r="90" customFormat="false" ht="15" hidden="false" customHeight="false" outlineLevel="0" collapsed="false">
      <c r="A90" s="14"/>
      <c r="B90" s="15"/>
      <c r="C90" s="14"/>
      <c r="D90" s="14"/>
      <c r="E90" s="14"/>
      <c r="F90" s="14"/>
      <c r="G90" s="14"/>
      <c r="H90" s="14"/>
      <c r="I90" s="20"/>
      <c r="J90" s="18" t="str">
        <f aca="true">IF(I90="","",TODAY()-I90)</f>
        <v/>
      </c>
      <c r="K90" s="14"/>
      <c r="L90" s="15"/>
    </row>
    <row r="91" customFormat="false" ht="15" hidden="false" customHeight="false" outlineLevel="0" collapsed="false">
      <c r="A91" s="14"/>
      <c r="B91" s="15"/>
      <c r="C91" s="14"/>
      <c r="D91" s="14"/>
      <c r="E91" s="14"/>
      <c r="F91" s="14"/>
      <c r="G91" s="14"/>
      <c r="H91" s="14"/>
      <c r="I91" s="20"/>
      <c r="J91" s="18" t="str">
        <f aca="true">IF(I91="","",TODAY()-I91)</f>
        <v/>
      </c>
      <c r="K91" s="14"/>
      <c r="L91" s="15"/>
    </row>
    <row r="92" customFormat="false" ht="15" hidden="false" customHeight="false" outlineLevel="0" collapsed="false">
      <c r="A92" s="14"/>
      <c r="B92" s="15"/>
      <c r="C92" s="14"/>
      <c r="D92" s="14"/>
      <c r="E92" s="14"/>
      <c r="F92" s="14"/>
      <c r="G92" s="14"/>
      <c r="H92" s="14"/>
      <c r="I92" s="20"/>
      <c r="J92" s="18" t="str">
        <f aca="true">IF(I92="","",TODAY()-I92)</f>
        <v/>
      </c>
      <c r="K92" s="14"/>
      <c r="L92" s="15"/>
    </row>
    <row r="93" customFormat="false" ht="15" hidden="false" customHeight="false" outlineLevel="0" collapsed="false">
      <c r="A93" s="14"/>
      <c r="B93" s="15"/>
      <c r="C93" s="14"/>
      <c r="D93" s="14"/>
      <c r="E93" s="14"/>
      <c r="F93" s="14"/>
      <c r="G93" s="14"/>
      <c r="H93" s="14"/>
      <c r="I93" s="20"/>
      <c r="J93" s="18" t="str">
        <f aca="true">IF(I93="","",TODAY()-I93)</f>
        <v/>
      </c>
      <c r="K93" s="14"/>
      <c r="L93" s="15"/>
    </row>
    <row r="94" customFormat="false" ht="15" hidden="false" customHeight="false" outlineLevel="0" collapsed="false">
      <c r="A94" s="14"/>
      <c r="B94" s="15"/>
      <c r="C94" s="14"/>
      <c r="D94" s="14"/>
      <c r="E94" s="14"/>
      <c r="F94" s="14"/>
      <c r="G94" s="14"/>
      <c r="H94" s="14"/>
      <c r="I94" s="20"/>
      <c r="J94" s="18" t="str">
        <f aca="true">IF(I94="","",TODAY()-I94)</f>
        <v/>
      </c>
      <c r="K94" s="14"/>
      <c r="L94" s="15"/>
    </row>
    <row r="95" customFormat="false" ht="15" hidden="false" customHeight="false" outlineLevel="0" collapsed="false">
      <c r="A95" s="14"/>
      <c r="B95" s="15"/>
      <c r="C95" s="14"/>
      <c r="D95" s="14"/>
      <c r="E95" s="14"/>
      <c r="F95" s="14"/>
      <c r="G95" s="14"/>
      <c r="H95" s="14"/>
      <c r="I95" s="20"/>
      <c r="J95" s="18" t="str">
        <f aca="true">IF(I95="","",TODAY()-I95)</f>
        <v/>
      </c>
      <c r="K95" s="14"/>
      <c r="L95" s="15"/>
    </row>
    <row r="96" customFormat="false" ht="15" hidden="false" customHeight="false" outlineLevel="0" collapsed="false">
      <c r="A96" s="14"/>
      <c r="B96" s="15"/>
      <c r="C96" s="14"/>
      <c r="D96" s="14"/>
      <c r="E96" s="14"/>
      <c r="F96" s="14"/>
      <c r="G96" s="14"/>
      <c r="H96" s="14"/>
      <c r="I96" s="20"/>
      <c r="J96" s="18" t="str">
        <f aca="true">IF(I96="","",TODAY()-I96)</f>
        <v/>
      </c>
      <c r="K96" s="14"/>
      <c r="L96" s="15"/>
    </row>
    <row r="97" customFormat="false" ht="15" hidden="false" customHeight="false" outlineLevel="0" collapsed="false">
      <c r="A97" s="14"/>
      <c r="B97" s="15"/>
      <c r="C97" s="14"/>
      <c r="D97" s="14"/>
      <c r="E97" s="14"/>
      <c r="F97" s="14"/>
      <c r="G97" s="14"/>
      <c r="H97" s="14"/>
      <c r="I97" s="20"/>
      <c r="J97" s="18" t="str">
        <f aca="true">IF(I97="","",TODAY()-I97)</f>
        <v/>
      </c>
      <c r="K97" s="14"/>
      <c r="L97" s="15"/>
    </row>
    <row r="98" customFormat="false" ht="15" hidden="false" customHeight="false" outlineLevel="0" collapsed="false">
      <c r="A98" s="14"/>
      <c r="B98" s="15"/>
      <c r="C98" s="14"/>
      <c r="D98" s="14"/>
      <c r="E98" s="14"/>
      <c r="F98" s="14"/>
      <c r="G98" s="14"/>
      <c r="H98" s="14"/>
      <c r="I98" s="20"/>
      <c r="J98" s="18" t="str">
        <f aca="true">IF(I98="","",TODAY()-I98)</f>
        <v/>
      </c>
      <c r="K98" s="14"/>
      <c r="L98" s="15"/>
    </row>
    <row r="99" customFormat="false" ht="15" hidden="false" customHeight="false" outlineLevel="0" collapsed="false">
      <c r="A99" s="14"/>
      <c r="B99" s="15"/>
      <c r="C99" s="14"/>
      <c r="D99" s="14"/>
      <c r="E99" s="14"/>
      <c r="F99" s="14"/>
      <c r="G99" s="14"/>
      <c r="H99" s="14"/>
      <c r="I99" s="20"/>
      <c r="J99" s="18" t="str">
        <f aca="true">IF(I99="","",TODAY()-I99)</f>
        <v/>
      </c>
      <c r="K99" s="14"/>
      <c r="L99" s="15"/>
    </row>
    <row r="100" customFormat="false" ht="15" hidden="false" customHeight="false" outlineLevel="0" collapsed="false">
      <c r="A100" s="14"/>
      <c r="B100" s="15"/>
      <c r="C100" s="14"/>
      <c r="D100" s="14"/>
      <c r="E100" s="14"/>
      <c r="F100" s="14"/>
      <c r="G100" s="14"/>
      <c r="H100" s="14"/>
      <c r="I100" s="20"/>
      <c r="J100" s="18" t="str">
        <f aca="true">IF(I100="","",TODAY()-I100)</f>
        <v/>
      </c>
      <c r="K100" s="14"/>
      <c r="L100" s="15"/>
    </row>
    <row r="101" customFormat="false" ht="15" hidden="false" customHeight="false" outlineLevel="0" collapsed="false">
      <c r="A101" s="14"/>
      <c r="B101" s="15"/>
      <c r="C101" s="14"/>
      <c r="D101" s="14"/>
      <c r="E101" s="14"/>
      <c r="F101" s="14"/>
      <c r="G101" s="14"/>
      <c r="H101" s="14"/>
      <c r="I101" s="20"/>
      <c r="J101" s="18" t="str">
        <f aca="true">IF(I101="","",TODAY()-I101)</f>
        <v/>
      </c>
      <c r="K101" s="14"/>
      <c r="L101" s="15"/>
    </row>
    <row r="102" customFormat="false" ht="15" hidden="false" customHeight="false" outlineLevel="0" collapsed="false">
      <c r="A102" s="14"/>
      <c r="B102" s="15"/>
      <c r="C102" s="14"/>
      <c r="D102" s="14"/>
      <c r="E102" s="14"/>
      <c r="F102" s="14"/>
      <c r="G102" s="14"/>
      <c r="H102" s="14"/>
      <c r="I102" s="20"/>
      <c r="J102" s="18" t="str">
        <f aca="true">IF(I102="","",TODAY()-I102)</f>
        <v/>
      </c>
      <c r="K102" s="14"/>
      <c r="L102" s="15"/>
    </row>
    <row r="103" customFormat="false" ht="15" hidden="false" customHeight="false" outlineLevel="0" collapsed="false">
      <c r="A103" s="14"/>
      <c r="B103" s="15"/>
      <c r="C103" s="14"/>
      <c r="D103" s="14"/>
      <c r="E103" s="14"/>
      <c r="F103" s="14"/>
      <c r="G103" s="14"/>
      <c r="H103" s="14"/>
      <c r="I103" s="20"/>
      <c r="J103" s="18" t="str">
        <f aca="true">IF(I103="","",TODAY()-I103)</f>
        <v/>
      </c>
      <c r="K103" s="14"/>
      <c r="L103" s="15"/>
    </row>
    <row r="104" customFormat="false" ht="15" hidden="false" customHeight="false" outlineLevel="0" collapsed="false">
      <c r="A104" s="14"/>
      <c r="B104" s="15"/>
      <c r="C104" s="14"/>
      <c r="D104" s="14"/>
      <c r="E104" s="14"/>
      <c r="F104" s="14"/>
      <c r="G104" s="14"/>
      <c r="H104" s="14"/>
      <c r="I104" s="20"/>
      <c r="J104" s="18" t="str">
        <f aca="true">IF(I104="","",TODAY()-I104)</f>
        <v/>
      </c>
      <c r="K104" s="14"/>
      <c r="L104" s="15"/>
    </row>
    <row r="105" customFormat="false" ht="15" hidden="false" customHeight="false" outlineLevel="0" collapsed="false">
      <c r="A105" s="14"/>
      <c r="B105" s="15"/>
      <c r="C105" s="14"/>
      <c r="D105" s="14"/>
      <c r="E105" s="14"/>
      <c r="F105" s="14"/>
      <c r="G105" s="14"/>
      <c r="H105" s="14"/>
      <c r="I105" s="20"/>
      <c r="J105" s="18" t="str">
        <f aca="true">IF(I105="","",TODAY()-I105)</f>
        <v/>
      </c>
      <c r="K105" s="14"/>
      <c r="L105" s="15"/>
    </row>
  </sheetData>
  <autoFilter ref="A5:L105"/>
  <conditionalFormatting sqref="F6:F105">
    <cfRule type="cellIs" priority="2" operator="equal" aboveAverage="0" equalAverage="0" bottom="0" percent="0" rank="0" text="" dxfId="5">
      <formula>"Working"</formula>
    </cfRule>
    <cfRule type="cellIs" priority="3" operator="equal" aboveAverage="0" equalAverage="0" bottom="0" percent="0" rank="0" text="" dxfId="6">
      <formula>"Testing"</formula>
    </cfRule>
    <cfRule type="cellIs" priority="4" operator="equal" aboveAverage="0" equalAverage="0" bottom="0" percent="0" rank="0" text="" dxfId="7">
      <formula>"Needs update"</formula>
    </cfRule>
    <cfRule type="cellIs" priority="5" operator="equal" aboveAverage="0" equalAverage="0" bottom="0" percent="0" rank="0" text="" dxfId="8">
      <formula>"Broken"</formula>
    </cfRule>
    <cfRule type="cellIs" priority="6" operator="equal" aboveAverage="0" equalAverage="0" bottom="0" percent="0" rank="0" text="" dxfId="9">
      <formula>"Retired"</formula>
    </cfRule>
  </conditionalFormatting>
  <conditionalFormatting sqref="J6:J105">
    <cfRule type="expression" priority="7" aboveAverage="0" equalAverage="0" bottom="0" percent="0" rank="0" text="" dxfId="7">
      <formula>AND($J6&lt;&gt;"",$J6&gt;$E$3)</formula>
    </cfRule>
  </conditionalFormatting>
  <dataValidations count="3">
    <dataValidation allowBlank="true" errorStyle="stop" operator="between" showDropDown="false" showErrorMessage="true" showInputMessage="false" sqref="D6:D105" type="list">
      <formula1>"Foundation,Adult,Immersion,Restaurant,Careers,World,CC,Tool,Other"</formula1>
      <formula2>0</formula2>
    </dataValidation>
    <dataValidation allowBlank="true" errorStyle="stop" operator="between" showDropDown="false" showErrorMessage="true" showInputMessage="false" sqref="E6:E105" type="list">
      <formula1>"Required,Optional"</formula1>
      <formula2>0</formula2>
    </dataValidation>
    <dataValidation allowBlank="true" errorStyle="stop" operator="between" showDropDown="false" showErrorMessage="true" showInputMessage="false" sqref="F6:F105" type="list">
      <formula1>"Not installed,Testing,Working,Needs update,Broken,Retired"</formula1>
      <formula2>0</formula2>
    </dataValidation>
  </dataValidations>
  <hyperlinks>
    <hyperlink ref="K8" r:id="rId1" display="Creator page"/>
    <hyperlink ref="K18" r:id="rId2" display="Download post"/>
    <hyperlink ref="K19" r:id="rId3" display="Listing"/>
    <hyperlink ref="K20" r:id="rId4" display="CurseForge"/>
    <hyperlink ref="K26" r:id="rId5" display="CurseForge"/>
    <hyperlink ref="K27" r:id="rId6" display="Creator page"/>
    <hyperlink ref="K28" r:id="rId7" display="Creator sit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4A12"/>
    <pageSetUpPr fitToPage="true"/>
  </sheetPr>
  <dimension ref="A1:L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4" min="3" style="0" width="16"/>
    <col collapsed="false" customWidth="true" hidden="false" outlineLevel="0" max="5" min="5" style="0" width="13"/>
    <col collapsed="false" customWidth="true" hidden="false" outlineLevel="0" max="7" min="6" style="0" width="28"/>
    <col collapsed="false" customWidth="true" hidden="false" outlineLevel="0" max="8" min="8" style="0" width="34"/>
    <col collapsed="false" customWidth="true" hidden="false" outlineLevel="0" max="9" min="9" style="0" width="10"/>
    <col collapsed="false" customWidth="true" hidden="false" outlineLevel="0" max="10" min="10" style="0" width="13"/>
    <col collapsed="false" customWidth="true" hidden="false" outlineLevel="0" max="11" min="11" style="0" width="14"/>
    <col collapsed="false" customWidth="true" hidden="false" outlineLevel="0" max="12" min="12" style="0" width="48"/>
  </cols>
  <sheetData>
    <row r="1" customFormat="false" ht="19.7" hidden="false" customHeight="false" outlineLevel="0" collapsed="false">
      <c r="A1" s="1" t="s">
        <v>153</v>
      </c>
    </row>
    <row r="2" customFormat="false" ht="15" hidden="false" customHeight="false" outlineLevel="0" collapsed="false">
      <c r="A2" s="2" t="s">
        <v>154</v>
      </c>
    </row>
    <row r="4" customFormat="false" ht="30" hidden="false" customHeight="true" outlineLevel="0" collapsed="false">
      <c r="A4" s="13" t="s">
        <v>155</v>
      </c>
      <c r="B4" s="13" t="s">
        <v>156</v>
      </c>
      <c r="C4" s="13" t="s">
        <v>157</v>
      </c>
      <c r="D4" s="13" t="s">
        <v>158</v>
      </c>
      <c r="E4" s="13" t="s">
        <v>159</v>
      </c>
      <c r="F4" s="13" t="s">
        <v>160</v>
      </c>
      <c r="G4" s="13" t="s">
        <v>161</v>
      </c>
      <c r="H4" s="13" t="s">
        <v>162</v>
      </c>
      <c r="I4" s="13" t="s">
        <v>163</v>
      </c>
      <c r="J4" s="13" t="s">
        <v>164</v>
      </c>
      <c r="K4" s="13" t="s">
        <v>165</v>
      </c>
      <c r="L4" s="13" t="s">
        <v>61</v>
      </c>
    </row>
    <row r="5" customFormat="false" ht="23.85" hidden="false" customHeight="false" outlineLevel="0" collapsed="false">
      <c r="A5" s="21" t="n">
        <v>46329</v>
      </c>
      <c r="B5" s="22" t="s">
        <v>166</v>
      </c>
      <c r="C5" s="22" t="s">
        <v>167</v>
      </c>
      <c r="D5" s="23" t="s">
        <v>168</v>
      </c>
      <c r="E5" s="23" t="s">
        <v>168</v>
      </c>
      <c r="F5" s="24" t="s">
        <v>169</v>
      </c>
      <c r="G5" s="24" t="s">
        <v>170</v>
      </c>
      <c r="H5" s="24" t="s">
        <v>171</v>
      </c>
      <c r="I5" s="23" t="n">
        <v>25</v>
      </c>
      <c r="J5" s="21" t="n">
        <v>46331</v>
      </c>
      <c r="K5" s="25" t="n">
        <f aca="false">IF(OR(A5="",J5=""),"",J5-A5)</f>
        <v>2</v>
      </c>
      <c r="L5" s="24" t="s">
        <v>172</v>
      </c>
    </row>
    <row r="6" customFormat="false" ht="23.85" hidden="false" customHeight="false" outlineLevel="0" collapsed="false">
      <c r="A6" s="20" t="n">
        <v>46287</v>
      </c>
      <c r="B6" s="26" t="s">
        <v>173</v>
      </c>
      <c r="C6" s="26" t="s">
        <v>174</v>
      </c>
      <c r="D6" s="14"/>
      <c r="E6" s="14"/>
      <c r="F6" s="15"/>
      <c r="G6" s="15"/>
      <c r="H6" s="15"/>
      <c r="I6" s="14"/>
      <c r="J6" s="20"/>
      <c r="K6" s="18" t="str">
        <f aca="false">IF(OR(A6="",J6=""),"",J6-A6)</f>
        <v/>
      </c>
      <c r="L6" s="15" t="s">
        <v>175</v>
      </c>
    </row>
    <row r="7" customFormat="false" ht="15" hidden="false" customHeight="false" outlineLevel="0" collapsed="false">
      <c r="A7" s="20"/>
      <c r="B7" s="26"/>
      <c r="C7" s="26"/>
      <c r="D7" s="14"/>
      <c r="E7" s="14"/>
      <c r="F7" s="15"/>
      <c r="G7" s="15"/>
      <c r="H7" s="15"/>
      <c r="I7" s="14"/>
      <c r="J7" s="20"/>
      <c r="K7" s="18" t="str">
        <f aca="false">IF(OR(A7="",J7=""),"",J7-A7)</f>
        <v/>
      </c>
      <c r="L7" s="15"/>
    </row>
    <row r="8" customFormat="false" ht="15" hidden="false" customHeight="false" outlineLevel="0" collapsed="false">
      <c r="A8" s="20"/>
      <c r="B8" s="26"/>
      <c r="C8" s="26"/>
      <c r="D8" s="14"/>
      <c r="E8" s="14"/>
      <c r="F8" s="15"/>
      <c r="G8" s="15"/>
      <c r="H8" s="15"/>
      <c r="I8" s="14"/>
      <c r="J8" s="20"/>
      <c r="K8" s="18" t="str">
        <f aca="false">IF(OR(A8="",J8=""),"",J8-A8)</f>
        <v/>
      </c>
      <c r="L8" s="15"/>
    </row>
    <row r="9" customFormat="false" ht="15" hidden="false" customHeight="false" outlineLevel="0" collapsed="false">
      <c r="A9" s="20"/>
      <c r="B9" s="26"/>
      <c r="C9" s="26"/>
      <c r="D9" s="14"/>
      <c r="E9" s="14"/>
      <c r="F9" s="15"/>
      <c r="G9" s="15"/>
      <c r="H9" s="15"/>
      <c r="I9" s="14"/>
      <c r="J9" s="20"/>
      <c r="K9" s="18" t="str">
        <f aca="false">IF(OR(A9="",J9=""),"",J9-A9)</f>
        <v/>
      </c>
      <c r="L9" s="15"/>
    </row>
    <row r="10" customFormat="false" ht="15" hidden="false" customHeight="false" outlineLevel="0" collapsed="false">
      <c r="A10" s="20"/>
      <c r="B10" s="26"/>
      <c r="C10" s="26"/>
      <c r="D10" s="14"/>
      <c r="E10" s="14"/>
      <c r="F10" s="15"/>
      <c r="G10" s="15"/>
      <c r="H10" s="15"/>
      <c r="I10" s="14"/>
      <c r="J10" s="20"/>
      <c r="K10" s="18" t="str">
        <f aca="false">IF(OR(A10="",J10=""),"",J10-A10)</f>
        <v/>
      </c>
      <c r="L10" s="15"/>
    </row>
    <row r="11" customFormat="false" ht="15" hidden="false" customHeight="false" outlineLevel="0" collapsed="false">
      <c r="A11" s="20"/>
      <c r="B11" s="26"/>
      <c r="C11" s="26"/>
      <c r="D11" s="14"/>
      <c r="E11" s="14"/>
      <c r="F11" s="15"/>
      <c r="G11" s="15"/>
      <c r="H11" s="15"/>
      <c r="I11" s="14"/>
      <c r="J11" s="20"/>
      <c r="K11" s="18" t="str">
        <f aca="false">IF(OR(A11="",J11=""),"",J11-A11)</f>
        <v/>
      </c>
      <c r="L11" s="15"/>
    </row>
    <row r="12" customFormat="false" ht="15" hidden="false" customHeight="false" outlineLevel="0" collapsed="false">
      <c r="A12" s="20"/>
      <c r="B12" s="26"/>
      <c r="C12" s="26"/>
      <c r="D12" s="14"/>
      <c r="E12" s="14"/>
      <c r="F12" s="15"/>
      <c r="G12" s="15"/>
      <c r="H12" s="15"/>
      <c r="I12" s="14"/>
      <c r="J12" s="20"/>
      <c r="K12" s="18" t="str">
        <f aca="false">IF(OR(A12="",J12=""),"",J12-A12)</f>
        <v/>
      </c>
      <c r="L12" s="15"/>
    </row>
    <row r="13" customFormat="false" ht="15" hidden="false" customHeight="false" outlineLevel="0" collapsed="false">
      <c r="A13" s="20"/>
      <c r="B13" s="26"/>
      <c r="C13" s="26"/>
      <c r="D13" s="14"/>
      <c r="E13" s="14"/>
      <c r="F13" s="15"/>
      <c r="G13" s="15"/>
      <c r="H13" s="15"/>
      <c r="I13" s="14"/>
      <c r="J13" s="20"/>
      <c r="K13" s="18" t="str">
        <f aca="false">IF(OR(A13="",J13=""),"",J13-A13)</f>
        <v/>
      </c>
      <c r="L13" s="15"/>
    </row>
    <row r="14" customFormat="false" ht="15" hidden="false" customHeight="false" outlineLevel="0" collapsed="false">
      <c r="A14" s="20"/>
      <c r="B14" s="26"/>
      <c r="C14" s="26"/>
      <c r="D14" s="14"/>
      <c r="E14" s="14"/>
      <c r="F14" s="15"/>
      <c r="G14" s="15"/>
      <c r="H14" s="15"/>
      <c r="I14" s="14"/>
      <c r="J14" s="20"/>
      <c r="K14" s="18" t="str">
        <f aca="false">IF(OR(A14="",J14=""),"",J14-A14)</f>
        <v/>
      </c>
      <c r="L14" s="15"/>
    </row>
    <row r="15" customFormat="false" ht="15" hidden="false" customHeight="false" outlineLevel="0" collapsed="false">
      <c r="A15" s="20"/>
      <c r="B15" s="26"/>
      <c r="C15" s="26"/>
      <c r="D15" s="14"/>
      <c r="E15" s="14"/>
      <c r="F15" s="15"/>
      <c r="G15" s="15"/>
      <c r="H15" s="15"/>
      <c r="I15" s="14"/>
      <c r="J15" s="20"/>
      <c r="K15" s="18" t="str">
        <f aca="false">IF(OR(A15="",J15=""),"",J15-A15)</f>
        <v/>
      </c>
      <c r="L15" s="15"/>
    </row>
    <row r="16" customFormat="false" ht="15" hidden="false" customHeight="false" outlineLevel="0" collapsed="false">
      <c r="A16" s="20"/>
      <c r="B16" s="26"/>
      <c r="C16" s="26"/>
      <c r="D16" s="14"/>
      <c r="E16" s="14"/>
      <c r="F16" s="15"/>
      <c r="G16" s="15"/>
      <c r="H16" s="15"/>
      <c r="I16" s="14"/>
      <c r="J16" s="20"/>
      <c r="K16" s="18" t="str">
        <f aca="false">IF(OR(A16="",J16=""),"",J16-A16)</f>
        <v/>
      </c>
      <c r="L16" s="15"/>
    </row>
    <row r="17" customFormat="false" ht="15" hidden="false" customHeight="false" outlineLevel="0" collapsed="false">
      <c r="A17" s="20"/>
      <c r="B17" s="26"/>
      <c r="C17" s="26"/>
      <c r="D17" s="14"/>
      <c r="E17" s="14"/>
      <c r="F17" s="15"/>
      <c r="G17" s="15"/>
      <c r="H17" s="15"/>
      <c r="I17" s="14"/>
      <c r="J17" s="20"/>
      <c r="K17" s="18" t="str">
        <f aca="false">IF(OR(A17="",J17=""),"",J17-A17)</f>
        <v/>
      </c>
      <c r="L17" s="15"/>
    </row>
    <row r="18" customFormat="false" ht="15" hidden="false" customHeight="false" outlineLevel="0" collapsed="false">
      <c r="A18" s="20"/>
      <c r="B18" s="26"/>
      <c r="C18" s="26"/>
      <c r="D18" s="14"/>
      <c r="E18" s="14"/>
      <c r="F18" s="15"/>
      <c r="G18" s="15"/>
      <c r="H18" s="15"/>
      <c r="I18" s="14"/>
      <c r="J18" s="20"/>
      <c r="K18" s="18" t="str">
        <f aca="false">IF(OR(A18="",J18=""),"",J18-A18)</f>
        <v/>
      </c>
      <c r="L18" s="15"/>
    </row>
    <row r="19" customFormat="false" ht="15" hidden="false" customHeight="false" outlineLevel="0" collapsed="false">
      <c r="A19" s="20"/>
      <c r="B19" s="26"/>
      <c r="C19" s="26"/>
      <c r="D19" s="14"/>
      <c r="E19" s="14"/>
      <c r="F19" s="15"/>
      <c r="G19" s="15"/>
      <c r="H19" s="15"/>
      <c r="I19" s="14"/>
      <c r="J19" s="20"/>
      <c r="K19" s="18" t="str">
        <f aca="false">IF(OR(A19="",J19=""),"",J19-A19)</f>
        <v/>
      </c>
      <c r="L19" s="15"/>
    </row>
    <row r="20" customFormat="false" ht="15" hidden="false" customHeight="false" outlineLevel="0" collapsed="false">
      <c r="A20" s="20"/>
      <c r="B20" s="26"/>
      <c r="C20" s="26"/>
      <c r="D20" s="14"/>
      <c r="E20" s="14"/>
      <c r="F20" s="15"/>
      <c r="G20" s="15"/>
      <c r="H20" s="15"/>
      <c r="I20" s="14"/>
      <c r="J20" s="20"/>
      <c r="K20" s="18" t="str">
        <f aca="false">IF(OR(A20="",J20=""),"",J20-A20)</f>
        <v/>
      </c>
      <c r="L20" s="15"/>
    </row>
    <row r="21" customFormat="false" ht="15" hidden="false" customHeight="false" outlineLevel="0" collapsed="false">
      <c r="A21" s="20"/>
      <c r="B21" s="26"/>
      <c r="C21" s="26"/>
      <c r="D21" s="14"/>
      <c r="E21" s="14"/>
      <c r="F21" s="15"/>
      <c r="G21" s="15"/>
      <c r="H21" s="15"/>
      <c r="I21" s="14"/>
      <c r="J21" s="20"/>
      <c r="K21" s="18" t="str">
        <f aca="false">IF(OR(A21="",J21=""),"",J21-A21)</f>
        <v/>
      </c>
      <c r="L21" s="15"/>
    </row>
    <row r="22" customFormat="false" ht="15" hidden="false" customHeight="false" outlineLevel="0" collapsed="false">
      <c r="A22" s="20"/>
      <c r="B22" s="26"/>
      <c r="C22" s="26"/>
      <c r="D22" s="14"/>
      <c r="E22" s="14"/>
      <c r="F22" s="15"/>
      <c r="G22" s="15"/>
      <c r="H22" s="15"/>
      <c r="I22" s="14"/>
      <c r="J22" s="20"/>
      <c r="K22" s="18" t="str">
        <f aca="false">IF(OR(A22="",J22=""),"",J22-A22)</f>
        <v/>
      </c>
      <c r="L22" s="15"/>
    </row>
    <row r="23" customFormat="false" ht="15" hidden="false" customHeight="false" outlineLevel="0" collapsed="false">
      <c r="A23" s="20"/>
      <c r="B23" s="26"/>
      <c r="C23" s="26"/>
      <c r="D23" s="14"/>
      <c r="E23" s="14"/>
      <c r="F23" s="15"/>
      <c r="G23" s="15"/>
      <c r="H23" s="15"/>
      <c r="I23" s="14"/>
      <c r="J23" s="20"/>
      <c r="K23" s="18" t="str">
        <f aca="false">IF(OR(A23="",J23=""),"",J23-A23)</f>
        <v/>
      </c>
      <c r="L23" s="15"/>
    </row>
    <row r="24" customFormat="false" ht="15" hidden="false" customHeight="false" outlineLevel="0" collapsed="false">
      <c r="A24" s="20"/>
      <c r="B24" s="26"/>
      <c r="C24" s="26"/>
      <c r="D24" s="14"/>
      <c r="E24" s="14"/>
      <c r="F24" s="15"/>
      <c r="G24" s="15"/>
      <c r="H24" s="15"/>
      <c r="I24" s="14"/>
      <c r="J24" s="20"/>
      <c r="K24" s="18" t="str">
        <f aca="false">IF(OR(A24="",J24=""),"",J24-A24)</f>
        <v/>
      </c>
      <c r="L24" s="15"/>
    </row>
    <row r="25" customFormat="false" ht="15" hidden="false" customHeight="false" outlineLevel="0" collapsed="false">
      <c r="A25" s="20"/>
      <c r="B25" s="26"/>
      <c r="C25" s="26"/>
      <c r="D25" s="14"/>
      <c r="E25" s="14"/>
      <c r="F25" s="15"/>
      <c r="G25" s="15"/>
      <c r="H25" s="15"/>
      <c r="I25" s="14"/>
      <c r="J25" s="20"/>
      <c r="K25" s="18" t="str">
        <f aca="false">IF(OR(A25="",J25=""),"",J25-A25)</f>
        <v/>
      </c>
      <c r="L25" s="15"/>
    </row>
    <row r="26" customFormat="false" ht="15" hidden="false" customHeight="false" outlineLevel="0" collapsed="false">
      <c r="A26" s="20"/>
      <c r="B26" s="26"/>
      <c r="C26" s="26"/>
      <c r="D26" s="14"/>
      <c r="E26" s="14"/>
      <c r="F26" s="15"/>
      <c r="G26" s="15"/>
      <c r="H26" s="15"/>
      <c r="I26" s="14"/>
      <c r="J26" s="20"/>
      <c r="K26" s="18" t="str">
        <f aca="false">IF(OR(A26="",J26=""),"",J26-A26)</f>
        <v/>
      </c>
      <c r="L26" s="15"/>
    </row>
    <row r="27" customFormat="false" ht="15" hidden="false" customHeight="false" outlineLevel="0" collapsed="false">
      <c r="A27" s="20"/>
      <c r="B27" s="26"/>
      <c r="C27" s="26"/>
      <c r="D27" s="14"/>
      <c r="E27" s="14"/>
      <c r="F27" s="15"/>
      <c r="G27" s="15"/>
      <c r="H27" s="15"/>
      <c r="I27" s="14"/>
      <c r="J27" s="20"/>
      <c r="K27" s="18" t="str">
        <f aca="false">IF(OR(A27="",J27=""),"",J27-A27)</f>
        <v/>
      </c>
      <c r="L27" s="15"/>
    </row>
    <row r="28" customFormat="false" ht="15" hidden="false" customHeight="false" outlineLevel="0" collapsed="false">
      <c r="A28" s="20"/>
      <c r="B28" s="26"/>
      <c r="C28" s="26"/>
      <c r="D28" s="14"/>
      <c r="E28" s="14"/>
      <c r="F28" s="15"/>
      <c r="G28" s="15"/>
      <c r="H28" s="15"/>
      <c r="I28" s="14"/>
      <c r="J28" s="20"/>
      <c r="K28" s="18" t="str">
        <f aca="false">IF(OR(A28="",J28=""),"",J28-A28)</f>
        <v/>
      </c>
      <c r="L28" s="15"/>
    </row>
    <row r="29" customFormat="false" ht="15" hidden="false" customHeight="false" outlineLevel="0" collapsed="false">
      <c r="A29" s="20"/>
      <c r="B29" s="26"/>
      <c r="C29" s="26"/>
      <c r="D29" s="14"/>
      <c r="E29" s="14"/>
      <c r="F29" s="15"/>
      <c r="G29" s="15"/>
      <c r="H29" s="15"/>
      <c r="I29" s="14"/>
      <c r="J29" s="20"/>
      <c r="K29" s="18" t="str">
        <f aca="false">IF(OR(A29="",J29=""),"",J29-A29)</f>
        <v/>
      </c>
      <c r="L29" s="15"/>
    </row>
    <row r="30" customFormat="false" ht="15" hidden="false" customHeight="false" outlineLevel="0" collapsed="false">
      <c r="A30" s="20"/>
      <c r="B30" s="26"/>
      <c r="C30" s="26"/>
      <c r="D30" s="14"/>
      <c r="E30" s="14"/>
      <c r="F30" s="15"/>
      <c r="G30" s="15"/>
      <c r="H30" s="15"/>
      <c r="I30" s="14"/>
      <c r="J30" s="20"/>
      <c r="K30" s="18" t="str">
        <f aca="false">IF(OR(A30="",J30=""),"",J30-A30)</f>
        <v/>
      </c>
      <c r="L30" s="15"/>
    </row>
    <row r="31" customFormat="false" ht="15" hidden="false" customHeight="false" outlineLevel="0" collapsed="false">
      <c r="A31" s="20"/>
      <c r="B31" s="26"/>
      <c r="C31" s="26"/>
      <c r="D31" s="14"/>
      <c r="E31" s="14"/>
      <c r="F31" s="15"/>
      <c r="G31" s="15"/>
      <c r="H31" s="15"/>
      <c r="I31" s="14"/>
      <c r="J31" s="20"/>
      <c r="K31" s="18" t="str">
        <f aca="false">IF(OR(A31="",J31=""),"",J31-A31)</f>
        <v/>
      </c>
      <c r="L31" s="15"/>
    </row>
    <row r="32" customFormat="false" ht="15" hidden="false" customHeight="false" outlineLevel="0" collapsed="false">
      <c r="A32" s="20"/>
      <c r="B32" s="26"/>
      <c r="C32" s="26"/>
      <c r="D32" s="14"/>
      <c r="E32" s="14"/>
      <c r="F32" s="15"/>
      <c r="G32" s="15"/>
      <c r="H32" s="15"/>
      <c r="I32" s="14"/>
      <c r="J32" s="20"/>
      <c r="K32" s="18" t="str">
        <f aca="false">IF(OR(A32="",J32=""),"",J32-A32)</f>
        <v/>
      </c>
      <c r="L32" s="15"/>
    </row>
    <row r="33" customFormat="false" ht="15" hidden="false" customHeight="false" outlineLevel="0" collapsed="false">
      <c r="A33" s="20"/>
      <c r="B33" s="26"/>
      <c r="C33" s="26"/>
      <c r="D33" s="14"/>
      <c r="E33" s="14"/>
      <c r="F33" s="15"/>
      <c r="G33" s="15"/>
      <c r="H33" s="15"/>
      <c r="I33" s="14"/>
      <c r="J33" s="20"/>
      <c r="K33" s="18" t="str">
        <f aca="false">IF(OR(A33="",J33=""),"",J33-A33)</f>
        <v/>
      </c>
      <c r="L33" s="15"/>
    </row>
    <row r="34" customFormat="false" ht="15" hidden="false" customHeight="false" outlineLevel="0" collapsed="false">
      <c r="A34" s="20"/>
      <c r="B34" s="26"/>
      <c r="C34" s="26"/>
      <c r="D34" s="14"/>
      <c r="E34" s="14"/>
      <c r="F34" s="15"/>
      <c r="G34" s="15"/>
      <c r="H34" s="15"/>
      <c r="I34" s="14"/>
      <c r="J34" s="20"/>
      <c r="K34" s="18" t="str">
        <f aca="false">IF(OR(A34="",J34=""),"",J34-A34)</f>
        <v/>
      </c>
      <c r="L34" s="15"/>
    </row>
    <row r="35" customFormat="false" ht="15" hidden="false" customHeight="false" outlineLevel="0" collapsed="false">
      <c r="A35" s="20"/>
      <c r="B35" s="26"/>
      <c r="C35" s="26"/>
      <c r="D35" s="14"/>
      <c r="E35" s="14"/>
      <c r="F35" s="15"/>
      <c r="G35" s="15"/>
      <c r="H35" s="15"/>
      <c r="I35" s="14"/>
      <c r="J35" s="20"/>
      <c r="K35" s="18" t="str">
        <f aca="false">IF(OR(A35="",J35=""),"",J35-A35)</f>
        <v/>
      </c>
      <c r="L35" s="15"/>
    </row>
    <row r="36" customFormat="false" ht="15" hidden="false" customHeight="false" outlineLevel="0" collapsed="false">
      <c r="A36" s="20"/>
      <c r="B36" s="26"/>
      <c r="C36" s="26"/>
      <c r="D36" s="14"/>
      <c r="E36" s="14"/>
      <c r="F36" s="15"/>
      <c r="G36" s="15"/>
      <c r="H36" s="15"/>
      <c r="I36" s="14"/>
      <c r="J36" s="20"/>
      <c r="K36" s="18" t="str">
        <f aca="false">IF(OR(A36="",J36=""),"",J36-A36)</f>
        <v/>
      </c>
      <c r="L36" s="15"/>
    </row>
    <row r="37" customFormat="false" ht="15" hidden="false" customHeight="false" outlineLevel="0" collapsed="false">
      <c r="A37" s="20"/>
      <c r="B37" s="26"/>
      <c r="C37" s="26"/>
      <c r="D37" s="14"/>
      <c r="E37" s="14"/>
      <c r="F37" s="15"/>
      <c r="G37" s="15"/>
      <c r="H37" s="15"/>
      <c r="I37" s="14"/>
      <c r="J37" s="20"/>
      <c r="K37" s="18" t="str">
        <f aca="false">IF(OR(A37="",J37=""),"",J37-A37)</f>
        <v/>
      </c>
      <c r="L37" s="15"/>
    </row>
    <row r="38" customFormat="false" ht="15" hidden="false" customHeight="false" outlineLevel="0" collapsed="false">
      <c r="A38" s="20"/>
      <c r="B38" s="26"/>
      <c r="C38" s="26"/>
      <c r="D38" s="14"/>
      <c r="E38" s="14"/>
      <c r="F38" s="15"/>
      <c r="G38" s="15"/>
      <c r="H38" s="15"/>
      <c r="I38" s="14"/>
      <c r="J38" s="20"/>
      <c r="K38" s="18" t="str">
        <f aca="false">IF(OR(A38="",J38=""),"",J38-A38)</f>
        <v/>
      </c>
      <c r="L38" s="15"/>
    </row>
    <row r="39" customFormat="false" ht="15" hidden="false" customHeight="false" outlineLevel="0" collapsed="false">
      <c r="A39" s="20"/>
      <c r="B39" s="26"/>
      <c r="C39" s="26"/>
      <c r="D39" s="14"/>
      <c r="E39" s="14"/>
      <c r="F39" s="15"/>
      <c r="G39" s="15"/>
      <c r="H39" s="15"/>
      <c r="I39" s="14"/>
      <c r="J39" s="20"/>
      <c r="K39" s="18" t="str">
        <f aca="false">IF(OR(A39="",J39=""),"",J39-A39)</f>
        <v/>
      </c>
      <c r="L39" s="15"/>
    </row>
    <row r="40" customFormat="false" ht="15" hidden="false" customHeight="false" outlineLevel="0" collapsed="false">
      <c r="A40" s="20"/>
      <c r="B40" s="26"/>
      <c r="C40" s="26"/>
      <c r="D40" s="14"/>
      <c r="E40" s="14"/>
      <c r="F40" s="15"/>
      <c r="G40" s="15"/>
      <c r="H40" s="15"/>
      <c r="I40" s="14"/>
      <c r="J40" s="20"/>
      <c r="K40" s="18" t="str">
        <f aca="false">IF(OR(A40="",J40=""),"",J40-A40)</f>
        <v/>
      </c>
      <c r="L40" s="15"/>
    </row>
    <row r="41" customFormat="false" ht="15" hidden="false" customHeight="false" outlineLevel="0" collapsed="false">
      <c r="A41" s="20"/>
      <c r="B41" s="26"/>
      <c r="C41" s="26"/>
      <c r="D41" s="14"/>
      <c r="E41" s="14"/>
      <c r="F41" s="15"/>
      <c r="G41" s="15"/>
      <c r="H41" s="15"/>
      <c r="I41" s="14"/>
      <c r="J41" s="20"/>
      <c r="K41" s="18" t="str">
        <f aca="false">IF(OR(A41="",J41=""),"",J41-A41)</f>
        <v/>
      </c>
      <c r="L41" s="15"/>
    </row>
    <row r="42" customFormat="false" ht="15" hidden="false" customHeight="false" outlineLevel="0" collapsed="false">
      <c r="A42" s="20"/>
      <c r="B42" s="26"/>
      <c r="C42" s="26"/>
      <c r="D42" s="14"/>
      <c r="E42" s="14"/>
      <c r="F42" s="15"/>
      <c r="G42" s="15"/>
      <c r="H42" s="15"/>
      <c r="I42" s="14"/>
      <c r="J42" s="20"/>
      <c r="K42" s="18" t="str">
        <f aca="false">IF(OR(A42="",J42=""),"",J42-A42)</f>
        <v/>
      </c>
      <c r="L42" s="15"/>
    </row>
    <row r="43" customFormat="false" ht="15" hidden="false" customHeight="false" outlineLevel="0" collapsed="false">
      <c r="A43" s="20"/>
      <c r="B43" s="26"/>
      <c r="C43" s="26"/>
      <c r="D43" s="14"/>
      <c r="E43" s="14"/>
      <c r="F43" s="15"/>
      <c r="G43" s="15"/>
      <c r="H43" s="15"/>
      <c r="I43" s="14"/>
      <c r="J43" s="20"/>
      <c r="K43" s="18" t="str">
        <f aca="false">IF(OR(A43="",J43=""),"",J43-A43)</f>
        <v/>
      </c>
      <c r="L43" s="15"/>
    </row>
    <row r="44" customFormat="false" ht="15" hidden="false" customHeight="false" outlineLevel="0" collapsed="false">
      <c r="A44" s="20"/>
      <c r="B44" s="26"/>
      <c r="C44" s="26"/>
      <c r="D44" s="14"/>
      <c r="E44" s="14"/>
      <c r="F44" s="15"/>
      <c r="G44" s="15"/>
      <c r="H44" s="15"/>
      <c r="I44" s="14"/>
      <c r="J44" s="20"/>
      <c r="K44" s="18" t="str">
        <f aca="false">IF(OR(A44="",J44=""),"",J44-A44)</f>
        <v/>
      </c>
      <c r="L44" s="15"/>
    </row>
    <row r="45" customFormat="false" ht="15" hidden="false" customHeight="false" outlineLevel="0" collapsed="false">
      <c r="A45" s="20"/>
      <c r="B45" s="26"/>
      <c r="C45" s="26"/>
      <c r="D45" s="14"/>
      <c r="E45" s="14"/>
      <c r="F45" s="15"/>
      <c r="G45" s="15"/>
      <c r="H45" s="15"/>
      <c r="I45" s="14"/>
      <c r="J45" s="20"/>
      <c r="K45" s="18" t="str">
        <f aca="false">IF(OR(A45="",J45=""),"",J45-A45)</f>
        <v/>
      </c>
      <c r="L45" s="15"/>
    </row>
    <row r="46" customFormat="false" ht="15" hidden="false" customHeight="false" outlineLevel="0" collapsed="false">
      <c r="A46" s="20"/>
      <c r="B46" s="26"/>
      <c r="C46" s="26"/>
      <c r="D46" s="14"/>
      <c r="E46" s="14"/>
      <c r="F46" s="15"/>
      <c r="G46" s="15"/>
      <c r="H46" s="15"/>
      <c r="I46" s="14"/>
      <c r="J46" s="20"/>
      <c r="K46" s="18" t="str">
        <f aca="false">IF(OR(A46="",J46=""),"",J46-A46)</f>
        <v/>
      </c>
      <c r="L46" s="15"/>
    </row>
    <row r="47" customFormat="false" ht="15" hidden="false" customHeight="false" outlineLevel="0" collapsed="false">
      <c r="A47" s="20"/>
      <c r="B47" s="26"/>
      <c r="C47" s="26"/>
      <c r="D47" s="14"/>
      <c r="E47" s="14"/>
      <c r="F47" s="15"/>
      <c r="G47" s="15"/>
      <c r="H47" s="15"/>
      <c r="I47" s="14"/>
      <c r="J47" s="20"/>
      <c r="K47" s="18" t="str">
        <f aca="false">IF(OR(A47="",J47=""),"",J47-A47)</f>
        <v/>
      </c>
      <c r="L47" s="15"/>
    </row>
    <row r="48" customFormat="false" ht="15" hidden="false" customHeight="false" outlineLevel="0" collapsed="false">
      <c r="A48" s="20"/>
      <c r="B48" s="26"/>
      <c r="C48" s="26"/>
      <c r="D48" s="14"/>
      <c r="E48" s="14"/>
      <c r="F48" s="15"/>
      <c r="G48" s="15"/>
      <c r="H48" s="15"/>
      <c r="I48" s="14"/>
      <c r="J48" s="20"/>
      <c r="K48" s="18" t="str">
        <f aca="false">IF(OR(A48="",J48=""),"",J48-A48)</f>
        <v/>
      </c>
      <c r="L48" s="15"/>
    </row>
    <row r="49" customFormat="false" ht="15" hidden="false" customHeight="false" outlineLevel="0" collapsed="false">
      <c r="A49" s="20"/>
      <c r="B49" s="26"/>
      <c r="C49" s="26"/>
      <c r="D49" s="14"/>
      <c r="E49" s="14"/>
      <c r="F49" s="15"/>
      <c r="G49" s="15"/>
      <c r="H49" s="15"/>
      <c r="I49" s="14"/>
      <c r="J49" s="20"/>
      <c r="K49" s="18" t="str">
        <f aca="false">IF(OR(A49="",J49=""),"",J49-A49)</f>
        <v/>
      </c>
      <c r="L49" s="15"/>
    </row>
    <row r="50" customFormat="false" ht="15" hidden="false" customHeight="false" outlineLevel="0" collapsed="false">
      <c r="A50" s="20"/>
      <c r="B50" s="26"/>
      <c r="C50" s="26"/>
      <c r="D50" s="14"/>
      <c r="E50" s="14"/>
      <c r="F50" s="15"/>
      <c r="G50" s="15"/>
      <c r="H50" s="15"/>
      <c r="I50" s="14"/>
      <c r="J50" s="20"/>
      <c r="K50" s="18" t="str">
        <f aca="false">IF(OR(A50="",J50=""),"",J50-A50)</f>
        <v/>
      </c>
      <c r="L50" s="15"/>
    </row>
    <row r="51" customFormat="false" ht="15" hidden="false" customHeight="false" outlineLevel="0" collapsed="false">
      <c r="A51" s="20"/>
      <c r="B51" s="26"/>
      <c r="C51" s="26"/>
      <c r="D51" s="14"/>
      <c r="E51" s="14"/>
      <c r="F51" s="15"/>
      <c r="G51" s="15"/>
      <c r="H51" s="15"/>
      <c r="I51" s="14"/>
      <c r="J51" s="20"/>
      <c r="K51" s="18" t="str">
        <f aca="false">IF(OR(A51="",J51=""),"",J51-A51)</f>
        <v/>
      </c>
      <c r="L51" s="15"/>
    </row>
    <row r="52" customFormat="false" ht="15" hidden="false" customHeight="false" outlineLevel="0" collapsed="false">
      <c r="A52" s="20"/>
      <c r="B52" s="26"/>
      <c r="C52" s="26"/>
      <c r="D52" s="14"/>
      <c r="E52" s="14"/>
      <c r="F52" s="15"/>
      <c r="G52" s="15"/>
      <c r="H52" s="15"/>
      <c r="I52" s="14"/>
      <c r="J52" s="20"/>
      <c r="K52" s="18" t="str">
        <f aca="false">IF(OR(A52="",J52=""),"",J52-A52)</f>
        <v/>
      </c>
      <c r="L52" s="15"/>
    </row>
    <row r="53" customFormat="false" ht="15" hidden="false" customHeight="false" outlineLevel="0" collapsed="false">
      <c r="A53" s="20"/>
      <c r="B53" s="26"/>
      <c r="C53" s="26"/>
      <c r="D53" s="14"/>
      <c r="E53" s="14"/>
      <c r="F53" s="15"/>
      <c r="G53" s="15"/>
      <c r="H53" s="15"/>
      <c r="I53" s="14"/>
      <c r="J53" s="20"/>
      <c r="K53" s="18" t="str">
        <f aca="false">IF(OR(A53="",J53=""),"",J53-A53)</f>
        <v/>
      </c>
      <c r="L53" s="15"/>
    </row>
    <row r="54" customFormat="false" ht="15" hidden="false" customHeight="false" outlineLevel="0" collapsed="false">
      <c r="A54" s="20"/>
      <c r="B54" s="26"/>
      <c r="C54" s="26"/>
      <c r="D54" s="14"/>
      <c r="E54" s="14"/>
      <c r="F54" s="15"/>
      <c r="G54" s="15"/>
      <c r="H54" s="15"/>
      <c r="I54" s="14"/>
      <c r="J54" s="20"/>
      <c r="K54" s="18" t="str">
        <f aca="false">IF(OR(A54="",J54=""),"",J54-A54)</f>
        <v/>
      </c>
      <c r="L54" s="15"/>
    </row>
    <row r="55" customFormat="false" ht="15" hidden="false" customHeight="false" outlineLevel="0" collapsed="false">
      <c r="A55" s="20"/>
      <c r="B55" s="26"/>
      <c r="C55" s="26"/>
      <c r="D55" s="14"/>
      <c r="E55" s="14"/>
      <c r="F55" s="15"/>
      <c r="G55" s="15"/>
      <c r="H55" s="15"/>
      <c r="I55" s="14"/>
      <c r="J55" s="20"/>
      <c r="K55" s="18" t="str">
        <f aca="false">IF(OR(A55="",J55=""),"",J55-A55)</f>
        <v/>
      </c>
      <c r="L55" s="15"/>
    </row>
    <row r="56" customFormat="false" ht="15" hidden="false" customHeight="false" outlineLevel="0" collapsed="false">
      <c r="A56" s="20"/>
      <c r="B56" s="26"/>
      <c r="C56" s="26"/>
      <c r="D56" s="14"/>
      <c r="E56" s="14"/>
      <c r="F56" s="15"/>
      <c r="G56" s="15"/>
      <c r="H56" s="15"/>
      <c r="I56" s="14"/>
      <c r="J56" s="20"/>
      <c r="K56" s="18" t="str">
        <f aca="false">IF(OR(A56="",J56=""),"",J56-A56)</f>
        <v/>
      </c>
      <c r="L56" s="15"/>
    </row>
    <row r="57" customFormat="false" ht="15" hidden="false" customHeight="false" outlineLevel="0" collapsed="false">
      <c r="A57" s="20"/>
      <c r="B57" s="26"/>
      <c r="C57" s="26"/>
      <c r="D57" s="14"/>
      <c r="E57" s="14"/>
      <c r="F57" s="15"/>
      <c r="G57" s="15"/>
      <c r="H57" s="15"/>
      <c r="I57" s="14"/>
      <c r="J57" s="20"/>
      <c r="K57" s="18" t="str">
        <f aca="false">IF(OR(A57="",J57=""),"",J57-A57)</f>
        <v/>
      </c>
      <c r="L57" s="15"/>
    </row>
    <row r="58" customFormat="false" ht="15" hidden="false" customHeight="false" outlineLevel="0" collapsed="false">
      <c r="A58" s="20"/>
      <c r="B58" s="26"/>
      <c r="C58" s="26"/>
      <c r="D58" s="14"/>
      <c r="E58" s="14"/>
      <c r="F58" s="15"/>
      <c r="G58" s="15"/>
      <c r="H58" s="15"/>
      <c r="I58" s="14"/>
      <c r="J58" s="20"/>
      <c r="K58" s="18" t="str">
        <f aca="false">IF(OR(A58="",J58=""),"",J58-A58)</f>
        <v/>
      </c>
      <c r="L58" s="15"/>
    </row>
    <row r="59" customFormat="false" ht="15" hidden="false" customHeight="false" outlineLevel="0" collapsed="false">
      <c r="A59" s="20"/>
      <c r="B59" s="26"/>
      <c r="C59" s="26"/>
      <c r="D59" s="14"/>
      <c r="E59" s="14"/>
      <c r="F59" s="15"/>
      <c r="G59" s="15"/>
      <c r="H59" s="15"/>
      <c r="I59" s="14"/>
      <c r="J59" s="20"/>
      <c r="K59" s="18" t="str">
        <f aca="false">IF(OR(A59="",J59=""),"",J59-A59)</f>
        <v/>
      </c>
      <c r="L59" s="15"/>
    </row>
    <row r="60" customFormat="false" ht="15" hidden="false" customHeight="false" outlineLevel="0" collapsed="false">
      <c r="A60" s="20"/>
      <c r="B60" s="26"/>
      <c r="C60" s="26"/>
      <c r="D60" s="14"/>
      <c r="E60" s="14"/>
      <c r="F60" s="15"/>
      <c r="G60" s="15"/>
      <c r="H60" s="15"/>
      <c r="I60" s="14"/>
      <c r="J60" s="20"/>
      <c r="K60" s="18" t="str">
        <f aca="false">IF(OR(A60="",J60=""),"",J60-A60)</f>
        <v/>
      </c>
      <c r="L60" s="15"/>
    </row>
    <row r="61" customFormat="false" ht="15" hidden="false" customHeight="false" outlineLevel="0" collapsed="false">
      <c r="A61" s="20"/>
      <c r="B61" s="26"/>
      <c r="C61" s="26"/>
      <c r="D61" s="14"/>
      <c r="E61" s="14"/>
      <c r="F61" s="15"/>
      <c r="G61" s="15"/>
      <c r="H61" s="15"/>
      <c r="I61" s="14"/>
      <c r="J61" s="20"/>
      <c r="K61" s="18" t="str">
        <f aca="false">IF(OR(A61="",J61=""),"",J61-A61)</f>
        <v/>
      </c>
      <c r="L61" s="15"/>
    </row>
    <row r="62" customFormat="false" ht="15" hidden="false" customHeight="false" outlineLevel="0" collapsed="false">
      <c r="A62" s="20"/>
      <c r="B62" s="26"/>
      <c r="C62" s="26"/>
      <c r="D62" s="14"/>
      <c r="E62" s="14"/>
      <c r="F62" s="15"/>
      <c r="G62" s="15"/>
      <c r="H62" s="15"/>
      <c r="I62" s="14"/>
      <c r="J62" s="20"/>
      <c r="K62" s="18" t="str">
        <f aca="false">IF(OR(A62="",J62=""),"",J62-A62)</f>
        <v/>
      </c>
      <c r="L62" s="15"/>
    </row>
    <row r="63" customFormat="false" ht="15" hidden="false" customHeight="false" outlineLevel="0" collapsed="false">
      <c r="A63" s="20"/>
      <c r="B63" s="26"/>
      <c r="C63" s="26"/>
      <c r="D63" s="14"/>
      <c r="E63" s="14"/>
      <c r="F63" s="15"/>
      <c r="G63" s="15"/>
      <c r="H63" s="15"/>
      <c r="I63" s="14"/>
      <c r="J63" s="20"/>
      <c r="K63" s="18" t="str">
        <f aca="false">IF(OR(A63="",J63=""),"",J63-A63)</f>
        <v/>
      </c>
      <c r="L63" s="15"/>
    </row>
    <row r="64" customFormat="false" ht="15" hidden="false" customHeight="false" outlineLevel="0" collapsed="false">
      <c r="A64" s="20"/>
      <c r="B64" s="26"/>
      <c r="C64" s="26"/>
      <c r="D64" s="14"/>
      <c r="E64" s="14"/>
      <c r="F64" s="15"/>
      <c r="G64" s="15"/>
      <c r="H64" s="15"/>
      <c r="I64" s="14"/>
      <c r="J64" s="20"/>
      <c r="K64" s="18" t="str">
        <f aca="false">IF(OR(A64="",J64=""),"",J64-A64)</f>
        <v/>
      </c>
      <c r="L64" s="15"/>
    </row>
    <row r="65" customFormat="false" ht="15" hidden="false" customHeight="false" outlineLevel="0" collapsed="false">
      <c r="A65" s="20"/>
      <c r="B65" s="26"/>
      <c r="C65" s="26"/>
      <c r="D65" s="14"/>
      <c r="E65" s="14"/>
      <c r="F65" s="15"/>
      <c r="G65" s="15"/>
      <c r="H65" s="15"/>
      <c r="I65" s="14"/>
      <c r="J65" s="20"/>
      <c r="K65" s="18" t="str">
        <f aca="false">IF(OR(A65="",J65=""),"",J65-A65)</f>
        <v/>
      </c>
      <c r="L65" s="15"/>
    </row>
    <row r="66" customFormat="false" ht="15" hidden="false" customHeight="false" outlineLevel="0" collapsed="false">
      <c r="A66" s="20"/>
      <c r="B66" s="26"/>
      <c r="C66" s="26"/>
      <c r="D66" s="14"/>
      <c r="E66" s="14"/>
      <c r="F66" s="15"/>
      <c r="G66" s="15"/>
      <c r="H66" s="15"/>
      <c r="I66" s="14"/>
      <c r="J66" s="20"/>
      <c r="K66" s="18" t="str">
        <f aca="false">IF(OR(A66="",J66=""),"",J66-A66)</f>
        <v/>
      </c>
      <c r="L66" s="15"/>
    </row>
    <row r="67" customFormat="false" ht="15" hidden="false" customHeight="false" outlineLevel="0" collapsed="false">
      <c r="A67" s="20"/>
      <c r="B67" s="26"/>
      <c r="C67" s="26"/>
      <c r="D67" s="14"/>
      <c r="E67" s="14"/>
      <c r="F67" s="15"/>
      <c r="G67" s="15"/>
      <c r="H67" s="15"/>
      <c r="I67" s="14"/>
      <c r="J67" s="20"/>
      <c r="K67" s="18" t="str">
        <f aca="false">IF(OR(A67="",J67=""),"",J67-A67)</f>
        <v/>
      </c>
      <c r="L67" s="15"/>
    </row>
    <row r="68" customFormat="false" ht="15" hidden="false" customHeight="false" outlineLevel="0" collapsed="false">
      <c r="A68" s="20"/>
      <c r="B68" s="26"/>
      <c r="C68" s="26"/>
      <c r="D68" s="14"/>
      <c r="E68" s="14"/>
      <c r="F68" s="15"/>
      <c r="G68" s="15"/>
      <c r="H68" s="15"/>
      <c r="I68" s="14"/>
      <c r="J68" s="20"/>
      <c r="K68" s="18" t="str">
        <f aca="false">IF(OR(A68="",J68=""),"",J68-A68)</f>
        <v/>
      </c>
      <c r="L68" s="15"/>
    </row>
    <row r="69" customFormat="false" ht="15" hidden="false" customHeight="false" outlineLevel="0" collapsed="false">
      <c r="A69" s="20"/>
      <c r="B69" s="26"/>
      <c r="C69" s="26"/>
      <c r="D69" s="14"/>
      <c r="E69" s="14"/>
      <c r="F69" s="15"/>
      <c r="G69" s="15"/>
      <c r="H69" s="15"/>
      <c r="I69" s="14"/>
      <c r="J69" s="20"/>
      <c r="K69" s="18" t="str">
        <f aca="false">IF(OR(A69="",J69=""),"",J69-A69)</f>
        <v/>
      </c>
      <c r="L69" s="15"/>
    </row>
    <row r="70" customFormat="false" ht="15" hidden="false" customHeight="false" outlineLevel="0" collapsed="false">
      <c r="A70" s="20"/>
      <c r="B70" s="26"/>
      <c r="C70" s="26"/>
      <c r="D70" s="14"/>
      <c r="E70" s="14"/>
      <c r="F70" s="15"/>
      <c r="G70" s="15"/>
      <c r="H70" s="15"/>
      <c r="I70" s="14"/>
      <c r="J70" s="20"/>
      <c r="K70" s="18" t="str">
        <f aca="false">IF(OR(A70="",J70=""),"",J70-A70)</f>
        <v/>
      </c>
      <c r="L70" s="15"/>
    </row>
    <row r="71" customFormat="false" ht="15" hidden="false" customHeight="false" outlineLevel="0" collapsed="false">
      <c r="A71" s="20"/>
      <c r="B71" s="26"/>
      <c r="C71" s="26"/>
      <c r="D71" s="14"/>
      <c r="E71" s="14"/>
      <c r="F71" s="15"/>
      <c r="G71" s="15"/>
      <c r="H71" s="15"/>
      <c r="I71" s="14"/>
      <c r="J71" s="20"/>
      <c r="K71" s="18" t="str">
        <f aca="false">IF(OR(A71="",J71=""),"",J71-A71)</f>
        <v/>
      </c>
      <c r="L71" s="15"/>
    </row>
    <row r="72" customFormat="false" ht="15" hidden="false" customHeight="false" outlineLevel="0" collapsed="false">
      <c r="A72" s="20"/>
      <c r="B72" s="26"/>
      <c r="C72" s="26"/>
      <c r="D72" s="14"/>
      <c r="E72" s="14"/>
      <c r="F72" s="15"/>
      <c r="G72" s="15"/>
      <c r="H72" s="15"/>
      <c r="I72" s="14"/>
      <c r="J72" s="20"/>
      <c r="K72" s="18" t="str">
        <f aca="false">IF(OR(A72="",J72=""),"",J72-A72)</f>
        <v/>
      </c>
      <c r="L72" s="15"/>
    </row>
    <row r="73" customFormat="false" ht="15" hidden="false" customHeight="false" outlineLevel="0" collapsed="false">
      <c r="A73" s="20"/>
      <c r="B73" s="26"/>
      <c r="C73" s="26"/>
      <c r="D73" s="14"/>
      <c r="E73" s="14"/>
      <c r="F73" s="15"/>
      <c r="G73" s="15"/>
      <c r="H73" s="15"/>
      <c r="I73" s="14"/>
      <c r="J73" s="20"/>
      <c r="K73" s="18" t="str">
        <f aca="false">IF(OR(A73="",J73=""),"",J73-A73)</f>
        <v/>
      </c>
      <c r="L73" s="15"/>
    </row>
    <row r="74" customFormat="false" ht="15" hidden="false" customHeight="false" outlineLevel="0" collapsed="false">
      <c r="A74" s="20"/>
      <c r="B74" s="26"/>
      <c r="C74" s="26"/>
      <c r="D74" s="14"/>
      <c r="E74" s="14"/>
      <c r="F74" s="15"/>
      <c r="G74" s="15"/>
      <c r="H74" s="15"/>
      <c r="I74" s="14"/>
      <c r="J74" s="20"/>
      <c r="K74" s="18" t="str">
        <f aca="false">IF(OR(A74="",J74=""),"",J74-A74)</f>
        <v/>
      </c>
      <c r="L74" s="15"/>
    </row>
    <row r="75" customFormat="false" ht="15" hidden="false" customHeight="false" outlineLevel="0" collapsed="false">
      <c r="A75" s="20"/>
      <c r="B75" s="26"/>
      <c r="C75" s="26"/>
      <c r="D75" s="14"/>
      <c r="E75" s="14"/>
      <c r="F75" s="15"/>
      <c r="G75" s="15"/>
      <c r="H75" s="15"/>
      <c r="I75" s="14"/>
      <c r="J75" s="20"/>
      <c r="K75" s="18" t="str">
        <f aca="false">IF(OR(A75="",J75=""),"",J75-A75)</f>
        <v/>
      </c>
      <c r="L75" s="15"/>
    </row>
    <row r="76" customFormat="false" ht="15" hidden="false" customHeight="false" outlineLevel="0" collapsed="false">
      <c r="A76" s="20"/>
      <c r="B76" s="26"/>
      <c r="C76" s="26"/>
      <c r="D76" s="14"/>
      <c r="E76" s="14"/>
      <c r="F76" s="15"/>
      <c r="G76" s="15"/>
      <c r="H76" s="15"/>
      <c r="I76" s="14"/>
      <c r="J76" s="20"/>
      <c r="K76" s="18" t="str">
        <f aca="false">IF(OR(A76="",J76=""),"",J76-A76)</f>
        <v/>
      </c>
      <c r="L76" s="15"/>
    </row>
    <row r="77" customFormat="false" ht="15" hidden="false" customHeight="false" outlineLevel="0" collapsed="false">
      <c r="A77" s="20"/>
      <c r="B77" s="26"/>
      <c r="C77" s="26"/>
      <c r="D77" s="14"/>
      <c r="E77" s="14"/>
      <c r="F77" s="15"/>
      <c r="G77" s="15"/>
      <c r="H77" s="15"/>
      <c r="I77" s="14"/>
      <c r="J77" s="20"/>
      <c r="K77" s="18" t="str">
        <f aca="false">IF(OR(A77="",J77=""),"",J77-A77)</f>
        <v/>
      </c>
      <c r="L77" s="15"/>
    </row>
    <row r="78" customFormat="false" ht="15" hidden="false" customHeight="false" outlineLevel="0" collapsed="false">
      <c r="A78" s="20"/>
      <c r="B78" s="26"/>
      <c r="C78" s="26"/>
      <c r="D78" s="14"/>
      <c r="E78" s="14"/>
      <c r="F78" s="15"/>
      <c r="G78" s="15"/>
      <c r="H78" s="15"/>
      <c r="I78" s="14"/>
      <c r="J78" s="20"/>
      <c r="K78" s="18" t="str">
        <f aca="false">IF(OR(A78="",J78=""),"",J78-A78)</f>
        <v/>
      </c>
      <c r="L78" s="15"/>
    </row>
    <row r="79" customFormat="false" ht="15" hidden="false" customHeight="false" outlineLevel="0" collapsed="false">
      <c r="A79" s="20"/>
      <c r="B79" s="26"/>
      <c r="C79" s="26"/>
      <c r="D79" s="14"/>
      <c r="E79" s="14"/>
      <c r="F79" s="15"/>
      <c r="G79" s="15"/>
      <c r="H79" s="15"/>
      <c r="I79" s="14"/>
      <c r="J79" s="20"/>
      <c r="K79" s="18" t="str">
        <f aca="false">IF(OR(A79="",J79=""),"",J79-A79)</f>
        <v/>
      </c>
      <c r="L79" s="15"/>
    </row>
    <row r="80" customFormat="false" ht="15" hidden="false" customHeight="false" outlineLevel="0" collapsed="false">
      <c r="A80" s="20"/>
      <c r="B80" s="26"/>
      <c r="C80" s="26"/>
      <c r="D80" s="14"/>
      <c r="E80" s="14"/>
      <c r="F80" s="15"/>
      <c r="G80" s="15"/>
      <c r="H80" s="15"/>
      <c r="I80" s="14"/>
      <c r="J80" s="20"/>
      <c r="K80" s="18" t="str">
        <f aca="false">IF(OR(A80="",J80=""),"",J80-A80)</f>
        <v/>
      </c>
      <c r="L80" s="15"/>
    </row>
    <row r="81" customFormat="false" ht="15" hidden="false" customHeight="false" outlineLevel="0" collapsed="false">
      <c r="A81" s="20"/>
      <c r="B81" s="26"/>
      <c r="C81" s="26"/>
      <c r="D81" s="14"/>
      <c r="E81" s="14"/>
      <c r="F81" s="15"/>
      <c r="G81" s="15"/>
      <c r="H81" s="15"/>
      <c r="I81" s="14"/>
      <c r="J81" s="20"/>
      <c r="K81" s="18" t="str">
        <f aca="false">IF(OR(A81="",J81=""),"",J81-A81)</f>
        <v/>
      </c>
      <c r="L81" s="15"/>
    </row>
    <row r="82" customFormat="false" ht="15" hidden="false" customHeight="false" outlineLevel="0" collapsed="false">
      <c r="A82" s="20"/>
      <c r="B82" s="26"/>
      <c r="C82" s="26"/>
      <c r="D82" s="14"/>
      <c r="E82" s="14"/>
      <c r="F82" s="15"/>
      <c r="G82" s="15"/>
      <c r="H82" s="15"/>
      <c r="I82" s="14"/>
      <c r="J82" s="20"/>
      <c r="K82" s="18" t="str">
        <f aca="false">IF(OR(A82="",J82=""),"",J82-A82)</f>
        <v/>
      </c>
      <c r="L82" s="15"/>
    </row>
    <row r="83" customFormat="false" ht="15" hidden="false" customHeight="false" outlineLevel="0" collapsed="false">
      <c r="A83" s="20"/>
      <c r="B83" s="26"/>
      <c r="C83" s="26"/>
      <c r="D83" s="14"/>
      <c r="E83" s="14"/>
      <c r="F83" s="15"/>
      <c r="G83" s="15"/>
      <c r="H83" s="15"/>
      <c r="I83" s="14"/>
      <c r="J83" s="20"/>
      <c r="K83" s="18" t="str">
        <f aca="false">IF(OR(A83="",J83=""),"",J83-A83)</f>
        <v/>
      </c>
      <c r="L83" s="15"/>
    </row>
    <row r="84" customFormat="false" ht="15" hidden="false" customHeight="false" outlineLevel="0" collapsed="false">
      <c r="A84" s="20"/>
      <c r="B84" s="26"/>
      <c r="C84" s="26"/>
      <c r="D84" s="14"/>
      <c r="E84" s="14"/>
      <c r="F84" s="15"/>
      <c r="G84" s="15"/>
      <c r="H84" s="15"/>
      <c r="I84" s="14"/>
      <c r="J84" s="20"/>
      <c r="K84" s="18" t="str">
        <f aca="false">IF(OR(A84="",J84=""),"",J84-A84)</f>
        <v/>
      </c>
      <c r="L84" s="15"/>
    </row>
    <row r="85" customFormat="false" ht="15" hidden="false" customHeight="false" outlineLevel="0" collapsed="false">
      <c r="A85" s="20"/>
      <c r="B85" s="26"/>
      <c r="C85" s="26"/>
      <c r="D85" s="14"/>
      <c r="E85" s="14"/>
      <c r="F85" s="15"/>
      <c r="G85" s="15"/>
      <c r="H85" s="15"/>
      <c r="I85" s="14"/>
      <c r="J85" s="20"/>
      <c r="K85" s="18" t="str">
        <f aca="false">IF(OR(A85="",J85=""),"",J85-A85)</f>
        <v/>
      </c>
      <c r="L85" s="15"/>
    </row>
    <row r="86" customFormat="false" ht="15" hidden="false" customHeight="false" outlineLevel="0" collapsed="false">
      <c r="A86" s="20"/>
      <c r="B86" s="26"/>
      <c r="C86" s="26"/>
      <c r="D86" s="14"/>
      <c r="E86" s="14"/>
      <c r="F86" s="15"/>
      <c r="G86" s="15"/>
      <c r="H86" s="15"/>
      <c r="I86" s="14"/>
      <c r="J86" s="20"/>
      <c r="K86" s="18" t="str">
        <f aca="false">IF(OR(A86="",J86=""),"",J86-A86)</f>
        <v/>
      </c>
      <c r="L86" s="15"/>
    </row>
    <row r="87" customFormat="false" ht="15" hidden="false" customHeight="false" outlineLevel="0" collapsed="false">
      <c r="A87" s="20"/>
      <c r="B87" s="26"/>
      <c r="C87" s="26"/>
      <c r="D87" s="14"/>
      <c r="E87" s="14"/>
      <c r="F87" s="15"/>
      <c r="G87" s="15"/>
      <c r="H87" s="15"/>
      <c r="I87" s="14"/>
      <c r="J87" s="20"/>
      <c r="K87" s="18" t="str">
        <f aca="false">IF(OR(A87="",J87=""),"",J87-A87)</f>
        <v/>
      </c>
      <c r="L87" s="15"/>
    </row>
    <row r="88" customFormat="false" ht="15" hidden="false" customHeight="false" outlineLevel="0" collapsed="false">
      <c r="A88" s="20"/>
      <c r="B88" s="26"/>
      <c r="C88" s="26"/>
      <c r="D88" s="14"/>
      <c r="E88" s="14"/>
      <c r="F88" s="15"/>
      <c r="G88" s="15"/>
      <c r="H88" s="15"/>
      <c r="I88" s="14"/>
      <c r="J88" s="20"/>
      <c r="K88" s="18" t="str">
        <f aca="false">IF(OR(A88="",J88=""),"",J88-A88)</f>
        <v/>
      </c>
      <c r="L88" s="15"/>
    </row>
    <row r="89" customFormat="false" ht="15" hidden="false" customHeight="false" outlineLevel="0" collapsed="false">
      <c r="A89" s="20"/>
      <c r="B89" s="26"/>
      <c r="C89" s="26"/>
      <c r="D89" s="14"/>
      <c r="E89" s="14"/>
      <c r="F89" s="15"/>
      <c r="G89" s="15"/>
      <c r="H89" s="15"/>
      <c r="I89" s="14"/>
      <c r="J89" s="20"/>
      <c r="K89" s="18" t="str">
        <f aca="false">IF(OR(A89="",J89=""),"",J89-A89)</f>
        <v/>
      </c>
      <c r="L89" s="15"/>
    </row>
    <row r="90" customFormat="false" ht="15" hidden="false" customHeight="false" outlineLevel="0" collapsed="false">
      <c r="A90" s="20"/>
      <c r="B90" s="26"/>
      <c r="C90" s="26"/>
      <c r="D90" s="14"/>
      <c r="E90" s="14"/>
      <c r="F90" s="15"/>
      <c r="G90" s="15"/>
      <c r="H90" s="15"/>
      <c r="I90" s="14"/>
      <c r="J90" s="20"/>
      <c r="K90" s="18" t="str">
        <f aca="false">IF(OR(A90="",J90=""),"",J90-A90)</f>
        <v/>
      </c>
      <c r="L90" s="15"/>
    </row>
    <row r="91" customFormat="false" ht="15" hidden="false" customHeight="false" outlineLevel="0" collapsed="false">
      <c r="A91" s="20"/>
      <c r="B91" s="26"/>
      <c r="C91" s="26"/>
      <c r="D91" s="14"/>
      <c r="E91" s="14"/>
      <c r="F91" s="15"/>
      <c r="G91" s="15"/>
      <c r="H91" s="15"/>
      <c r="I91" s="14"/>
      <c r="J91" s="20"/>
      <c r="K91" s="18" t="str">
        <f aca="false">IF(OR(A91="",J91=""),"",J91-A91)</f>
        <v/>
      </c>
      <c r="L91" s="15"/>
    </row>
    <row r="92" customFormat="false" ht="15" hidden="false" customHeight="false" outlineLevel="0" collapsed="false">
      <c r="A92" s="20"/>
      <c r="B92" s="26"/>
      <c r="C92" s="26"/>
      <c r="D92" s="14"/>
      <c r="E92" s="14"/>
      <c r="F92" s="15"/>
      <c r="G92" s="15"/>
      <c r="H92" s="15"/>
      <c r="I92" s="14"/>
      <c r="J92" s="20"/>
      <c r="K92" s="18" t="str">
        <f aca="false">IF(OR(A92="",J92=""),"",J92-A92)</f>
        <v/>
      </c>
      <c r="L92" s="15"/>
    </row>
    <row r="93" customFormat="false" ht="15" hidden="false" customHeight="false" outlineLevel="0" collapsed="false">
      <c r="A93" s="20"/>
      <c r="B93" s="26"/>
      <c r="C93" s="26"/>
      <c r="D93" s="14"/>
      <c r="E93" s="14"/>
      <c r="F93" s="15"/>
      <c r="G93" s="15"/>
      <c r="H93" s="15"/>
      <c r="I93" s="14"/>
      <c r="J93" s="20"/>
      <c r="K93" s="18" t="str">
        <f aca="false">IF(OR(A93="",J93=""),"",J93-A93)</f>
        <v/>
      </c>
      <c r="L93" s="15"/>
    </row>
    <row r="94" customFormat="false" ht="15" hidden="false" customHeight="false" outlineLevel="0" collapsed="false">
      <c r="A94" s="20"/>
      <c r="B94" s="26"/>
      <c r="C94" s="26"/>
      <c r="D94" s="14"/>
      <c r="E94" s="14"/>
      <c r="F94" s="15"/>
      <c r="G94" s="15"/>
      <c r="H94" s="15"/>
      <c r="I94" s="14"/>
      <c r="J94" s="20"/>
      <c r="K94" s="18" t="str">
        <f aca="false">IF(OR(A94="",J94=""),"",J94-A94)</f>
        <v/>
      </c>
      <c r="L94" s="15"/>
    </row>
    <row r="95" customFormat="false" ht="15" hidden="false" customHeight="false" outlineLevel="0" collapsed="false">
      <c r="A95" s="20"/>
      <c r="B95" s="26"/>
      <c r="C95" s="26"/>
      <c r="D95" s="14"/>
      <c r="E95" s="14"/>
      <c r="F95" s="15"/>
      <c r="G95" s="15"/>
      <c r="H95" s="15"/>
      <c r="I95" s="14"/>
      <c r="J95" s="20"/>
      <c r="K95" s="18" t="str">
        <f aca="false">IF(OR(A95="",J95=""),"",J95-A95)</f>
        <v/>
      </c>
      <c r="L95" s="15"/>
    </row>
    <row r="96" customFormat="false" ht="15" hidden="false" customHeight="false" outlineLevel="0" collapsed="false">
      <c r="A96" s="20"/>
      <c r="B96" s="26"/>
      <c r="C96" s="26"/>
      <c r="D96" s="14"/>
      <c r="E96" s="14"/>
      <c r="F96" s="15"/>
      <c r="G96" s="15"/>
      <c r="H96" s="15"/>
      <c r="I96" s="14"/>
      <c r="J96" s="20"/>
      <c r="K96" s="18" t="str">
        <f aca="false">IF(OR(A96="",J96=""),"",J96-A96)</f>
        <v/>
      </c>
      <c r="L96" s="15"/>
    </row>
    <row r="97" customFormat="false" ht="15" hidden="false" customHeight="false" outlineLevel="0" collapsed="false">
      <c r="A97" s="20"/>
      <c r="B97" s="26"/>
      <c r="C97" s="26"/>
      <c r="D97" s="14"/>
      <c r="E97" s="14"/>
      <c r="F97" s="15"/>
      <c r="G97" s="15"/>
      <c r="H97" s="15"/>
      <c r="I97" s="14"/>
      <c r="J97" s="20"/>
      <c r="K97" s="18" t="str">
        <f aca="false">IF(OR(A97="",J97=""),"",J97-A97)</f>
        <v/>
      </c>
      <c r="L97" s="15"/>
    </row>
    <row r="98" customFormat="false" ht="15" hidden="false" customHeight="false" outlineLevel="0" collapsed="false">
      <c r="A98" s="20"/>
      <c r="B98" s="26"/>
      <c r="C98" s="26"/>
      <c r="D98" s="14"/>
      <c r="E98" s="14"/>
      <c r="F98" s="15"/>
      <c r="G98" s="15"/>
      <c r="H98" s="15"/>
      <c r="I98" s="14"/>
      <c r="J98" s="20"/>
      <c r="K98" s="18" t="str">
        <f aca="false">IF(OR(A98="",J98=""),"",J98-A98)</f>
        <v/>
      </c>
      <c r="L98" s="15"/>
    </row>
    <row r="99" customFormat="false" ht="15" hidden="false" customHeight="false" outlineLevel="0" collapsed="false">
      <c r="A99" s="20"/>
      <c r="B99" s="26"/>
      <c r="C99" s="26"/>
      <c r="D99" s="14"/>
      <c r="E99" s="14"/>
      <c r="F99" s="15"/>
      <c r="G99" s="15"/>
      <c r="H99" s="15"/>
      <c r="I99" s="14"/>
      <c r="J99" s="20"/>
      <c r="K99" s="18" t="str">
        <f aca="false">IF(OR(A99="",J99=""),"",J99-A99)</f>
        <v/>
      </c>
      <c r="L99" s="15"/>
    </row>
    <row r="100" customFormat="false" ht="15" hidden="false" customHeight="false" outlineLevel="0" collapsed="false">
      <c r="A100" s="20"/>
      <c r="B100" s="26"/>
      <c r="C100" s="26"/>
      <c r="D100" s="14"/>
      <c r="E100" s="14"/>
      <c r="F100" s="15"/>
      <c r="G100" s="15"/>
      <c r="H100" s="15"/>
      <c r="I100" s="14"/>
      <c r="J100" s="20"/>
      <c r="K100" s="18" t="str">
        <f aca="false">IF(OR(A100="",J100=""),"",J100-A100)</f>
        <v/>
      </c>
      <c r="L100" s="15"/>
    </row>
    <row r="101" customFormat="false" ht="15" hidden="false" customHeight="false" outlineLevel="0" collapsed="false">
      <c r="A101" s="20"/>
      <c r="B101" s="26"/>
      <c r="C101" s="26"/>
      <c r="D101" s="14"/>
      <c r="E101" s="14"/>
      <c r="F101" s="15"/>
      <c r="G101" s="15"/>
      <c r="H101" s="15"/>
      <c r="I101" s="14"/>
      <c r="J101" s="20"/>
      <c r="K101" s="18" t="str">
        <f aca="false">IF(OR(A101="",J101=""),"",J101-A101)</f>
        <v/>
      </c>
      <c r="L101" s="15"/>
    </row>
    <row r="102" customFormat="false" ht="15" hidden="false" customHeight="false" outlineLevel="0" collapsed="false">
      <c r="A102" s="20"/>
      <c r="B102" s="26"/>
      <c r="C102" s="26"/>
      <c r="D102" s="14"/>
      <c r="E102" s="14"/>
      <c r="F102" s="15"/>
      <c r="G102" s="15"/>
      <c r="H102" s="15"/>
      <c r="I102" s="14"/>
      <c r="J102" s="20"/>
      <c r="K102" s="18" t="str">
        <f aca="false">IF(OR(A102="",J102=""),"",J102-A102)</f>
        <v/>
      </c>
      <c r="L102" s="15"/>
    </row>
    <row r="103" customFormat="false" ht="15" hidden="false" customHeight="false" outlineLevel="0" collapsed="false">
      <c r="A103" s="20"/>
      <c r="B103" s="26"/>
      <c r="C103" s="26"/>
      <c r="D103" s="14"/>
      <c r="E103" s="14"/>
      <c r="F103" s="15"/>
      <c r="G103" s="15"/>
      <c r="H103" s="15"/>
      <c r="I103" s="14"/>
      <c r="J103" s="20"/>
      <c r="K103" s="18" t="str">
        <f aca="false">IF(OR(A103="",J103=""),"",J103-A103)</f>
        <v/>
      </c>
      <c r="L103" s="15"/>
    </row>
    <row r="104" customFormat="false" ht="15" hidden="false" customHeight="false" outlineLevel="0" collapsed="false">
      <c r="A104" s="20"/>
      <c r="B104" s="26"/>
      <c r="C104" s="26"/>
      <c r="D104" s="14"/>
      <c r="E104" s="14"/>
      <c r="F104" s="15"/>
      <c r="G104" s="15"/>
      <c r="H104" s="15"/>
      <c r="I104" s="14"/>
      <c r="J104" s="20"/>
      <c r="K104" s="18" t="str">
        <f aca="false">IF(OR(A104="",J104=""),"",J104-A104)</f>
        <v/>
      </c>
      <c r="L104" s="15"/>
    </row>
    <row r="105" customFormat="false" ht="15" hidden="false" customHeight="false" outlineLevel="0" collapsed="false">
      <c r="A105" s="20"/>
      <c r="B105" s="26"/>
      <c r="C105" s="26"/>
      <c r="D105" s="14"/>
      <c r="E105" s="14"/>
      <c r="F105" s="15"/>
      <c r="G105" s="15"/>
      <c r="H105" s="15"/>
      <c r="I105" s="14"/>
      <c r="J105" s="20"/>
      <c r="K105" s="18" t="str">
        <f aca="false">IF(OR(A105="",J105=""),"",J105-A105)</f>
        <v/>
      </c>
      <c r="L105" s="15"/>
    </row>
    <row r="106" customFormat="false" ht="15" hidden="false" customHeight="false" outlineLevel="0" collapsed="false">
      <c r="A106" s="20"/>
      <c r="B106" s="26"/>
      <c r="C106" s="26"/>
      <c r="D106" s="14"/>
      <c r="E106" s="14"/>
      <c r="F106" s="15"/>
      <c r="G106" s="15"/>
      <c r="H106" s="15"/>
      <c r="I106" s="14"/>
      <c r="J106" s="20"/>
      <c r="K106" s="18" t="str">
        <f aca="false">IF(OR(A106="",J106=""),"",J106-A106)</f>
        <v/>
      </c>
      <c r="L106" s="15"/>
    </row>
    <row r="107" customFormat="false" ht="15" hidden="false" customHeight="false" outlineLevel="0" collapsed="false">
      <c r="A107" s="20"/>
      <c r="B107" s="26"/>
      <c r="C107" s="26"/>
      <c r="D107" s="14"/>
      <c r="E107" s="14"/>
      <c r="F107" s="15"/>
      <c r="G107" s="15"/>
      <c r="H107" s="15"/>
      <c r="I107" s="14"/>
      <c r="J107" s="20"/>
      <c r="K107" s="18" t="str">
        <f aca="false">IF(OR(A107="",J107=""),"",J107-A107)</f>
        <v/>
      </c>
      <c r="L107" s="15"/>
    </row>
    <row r="108" customFormat="false" ht="15" hidden="false" customHeight="false" outlineLevel="0" collapsed="false">
      <c r="A108" s="20"/>
      <c r="B108" s="26"/>
      <c r="C108" s="26"/>
      <c r="D108" s="14"/>
      <c r="E108" s="14"/>
      <c r="F108" s="15"/>
      <c r="G108" s="15"/>
      <c r="H108" s="15"/>
      <c r="I108" s="14"/>
      <c r="J108" s="20"/>
      <c r="K108" s="18" t="str">
        <f aca="false">IF(OR(A108="",J108=""),"",J108-A108)</f>
        <v/>
      </c>
      <c r="L108" s="15"/>
    </row>
    <row r="109" customFormat="false" ht="15" hidden="false" customHeight="false" outlineLevel="0" collapsed="false">
      <c r="A109" s="20"/>
      <c r="B109" s="26"/>
      <c r="C109" s="26"/>
      <c r="D109" s="14"/>
      <c r="E109" s="14"/>
      <c r="F109" s="15"/>
      <c r="G109" s="15"/>
      <c r="H109" s="15"/>
      <c r="I109" s="14"/>
      <c r="J109" s="20"/>
      <c r="K109" s="18" t="str">
        <f aca="false">IF(OR(A109="",J109=""),"",J109-A109)</f>
        <v/>
      </c>
      <c r="L109" s="15"/>
    </row>
    <row r="110" customFormat="false" ht="15" hidden="false" customHeight="false" outlineLevel="0" collapsed="false">
      <c r="A110" s="20"/>
      <c r="B110" s="26"/>
      <c r="C110" s="26"/>
      <c r="D110" s="14"/>
      <c r="E110" s="14"/>
      <c r="F110" s="15"/>
      <c r="G110" s="15"/>
      <c r="H110" s="15"/>
      <c r="I110" s="14"/>
      <c r="J110" s="20"/>
      <c r="K110" s="18" t="str">
        <f aca="false">IF(OR(A110="",J110=""),"",J110-A110)</f>
        <v/>
      </c>
      <c r="L110" s="15"/>
    </row>
    <row r="111" customFormat="false" ht="15" hidden="false" customHeight="false" outlineLevel="0" collapsed="false">
      <c r="A111" s="20"/>
      <c r="B111" s="26"/>
      <c r="C111" s="26"/>
      <c r="D111" s="14"/>
      <c r="E111" s="14"/>
      <c r="F111" s="15"/>
      <c r="G111" s="15"/>
      <c r="H111" s="15"/>
      <c r="I111" s="14"/>
      <c r="J111" s="20"/>
      <c r="K111" s="18" t="str">
        <f aca="false">IF(OR(A111="",J111=""),"",J111-A111)</f>
        <v/>
      </c>
      <c r="L111" s="15"/>
    </row>
    <row r="112" customFormat="false" ht="15" hidden="false" customHeight="false" outlineLevel="0" collapsed="false">
      <c r="A112" s="20"/>
      <c r="B112" s="26"/>
      <c r="C112" s="26"/>
      <c r="D112" s="14"/>
      <c r="E112" s="14"/>
      <c r="F112" s="15"/>
      <c r="G112" s="15"/>
      <c r="H112" s="15"/>
      <c r="I112" s="14"/>
      <c r="J112" s="20"/>
      <c r="K112" s="18" t="str">
        <f aca="false">IF(OR(A112="",J112=""),"",J112-A112)</f>
        <v/>
      </c>
      <c r="L112" s="15"/>
    </row>
    <row r="113" customFormat="false" ht="15" hidden="false" customHeight="false" outlineLevel="0" collapsed="false">
      <c r="A113" s="20"/>
      <c r="B113" s="26"/>
      <c r="C113" s="26"/>
      <c r="D113" s="14"/>
      <c r="E113" s="14"/>
      <c r="F113" s="15"/>
      <c r="G113" s="15"/>
      <c r="H113" s="15"/>
      <c r="I113" s="14"/>
      <c r="J113" s="20"/>
      <c r="K113" s="18" t="str">
        <f aca="false">IF(OR(A113="",J113=""),"",J113-A113)</f>
        <v/>
      </c>
      <c r="L113" s="15"/>
    </row>
    <row r="114" customFormat="false" ht="15" hidden="false" customHeight="false" outlineLevel="0" collapsed="false">
      <c r="A114" s="20"/>
      <c r="B114" s="26"/>
      <c r="C114" s="26"/>
      <c r="D114" s="14"/>
      <c r="E114" s="14"/>
      <c r="F114" s="15"/>
      <c r="G114" s="15"/>
      <c r="H114" s="15"/>
      <c r="I114" s="14"/>
      <c r="J114" s="20"/>
      <c r="K114" s="18" t="str">
        <f aca="false">IF(OR(A114="",J114=""),"",J114-A114)</f>
        <v/>
      </c>
      <c r="L114" s="15"/>
    </row>
    <row r="115" customFormat="false" ht="15" hidden="false" customHeight="false" outlineLevel="0" collapsed="false">
      <c r="A115" s="20"/>
      <c r="B115" s="26"/>
      <c r="C115" s="26"/>
      <c r="D115" s="14"/>
      <c r="E115" s="14"/>
      <c r="F115" s="15"/>
      <c r="G115" s="15"/>
      <c r="H115" s="15"/>
      <c r="I115" s="14"/>
      <c r="J115" s="20"/>
      <c r="K115" s="18" t="str">
        <f aca="false">IF(OR(A115="",J115=""),"",J115-A115)</f>
        <v/>
      </c>
      <c r="L115" s="15"/>
    </row>
    <row r="116" customFormat="false" ht="15" hidden="false" customHeight="false" outlineLevel="0" collapsed="false">
      <c r="A116" s="20"/>
      <c r="B116" s="26"/>
      <c r="C116" s="26"/>
      <c r="D116" s="14"/>
      <c r="E116" s="14"/>
      <c r="F116" s="15"/>
      <c r="G116" s="15"/>
      <c r="H116" s="15"/>
      <c r="I116" s="14"/>
      <c r="J116" s="20"/>
      <c r="K116" s="18" t="str">
        <f aca="false">IF(OR(A116="",J116=""),"",J116-A116)</f>
        <v/>
      </c>
      <c r="L116" s="15"/>
    </row>
    <row r="117" customFormat="false" ht="15" hidden="false" customHeight="false" outlineLevel="0" collapsed="false">
      <c r="A117" s="20"/>
      <c r="B117" s="26"/>
      <c r="C117" s="26"/>
      <c r="D117" s="14"/>
      <c r="E117" s="14"/>
      <c r="F117" s="15"/>
      <c r="G117" s="15"/>
      <c r="H117" s="15"/>
      <c r="I117" s="14"/>
      <c r="J117" s="20"/>
      <c r="K117" s="18" t="str">
        <f aca="false">IF(OR(A117="",J117=""),"",J117-A117)</f>
        <v/>
      </c>
      <c r="L117" s="15"/>
    </row>
    <row r="118" customFormat="false" ht="15" hidden="false" customHeight="false" outlineLevel="0" collapsed="false">
      <c r="A118" s="20"/>
      <c r="B118" s="26"/>
      <c r="C118" s="26"/>
      <c r="D118" s="14"/>
      <c r="E118" s="14"/>
      <c r="F118" s="15"/>
      <c r="G118" s="15"/>
      <c r="H118" s="15"/>
      <c r="I118" s="14"/>
      <c r="J118" s="20"/>
      <c r="K118" s="18" t="str">
        <f aca="false">IF(OR(A118="",J118=""),"",J118-A118)</f>
        <v/>
      </c>
      <c r="L118" s="15"/>
    </row>
    <row r="119" customFormat="false" ht="15" hidden="false" customHeight="false" outlineLevel="0" collapsed="false">
      <c r="A119" s="20"/>
      <c r="B119" s="26"/>
      <c r="C119" s="26"/>
      <c r="D119" s="14"/>
      <c r="E119" s="14"/>
      <c r="F119" s="15"/>
      <c r="G119" s="15"/>
      <c r="H119" s="15"/>
      <c r="I119" s="14"/>
      <c r="J119" s="20"/>
      <c r="K119" s="18" t="str">
        <f aca="false">IF(OR(A119="",J119=""),"",J119-A119)</f>
        <v/>
      </c>
      <c r="L119" s="15"/>
    </row>
    <row r="120" customFormat="false" ht="15" hidden="false" customHeight="false" outlineLevel="0" collapsed="false">
      <c r="A120" s="20"/>
      <c r="B120" s="26"/>
      <c r="C120" s="26"/>
      <c r="D120" s="14"/>
      <c r="E120" s="14"/>
      <c r="F120" s="15"/>
      <c r="G120" s="15"/>
      <c r="H120" s="15"/>
      <c r="I120" s="14"/>
      <c r="J120" s="20"/>
      <c r="K120" s="18" t="str">
        <f aca="false">IF(OR(A120="",J120=""),"",J120-A120)</f>
        <v/>
      </c>
      <c r="L120" s="15"/>
    </row>
    <row r="121" customFormat="false" ht="15" hidden="false" customHeight="false" outlineLevel="0" collapsed="false">
      <c r="A121" s="20"/>
      <c r="B121" s="26"/>
      <c r="C121" s="26"/>
      <c r="D121" s="14"/>
      <c r="E121" s="14"/>
      <c r="F121" s="15"/>
      <c r="G121" s="15"/>
      <c r="H121" s="15"/>
      <c r="I121" s="14"/>
      <c r="J121" s="20"/>
      <c r="K121" s="18" t="str">
        <f aca="false">IF(OR(A121="",J121=""),"",J121-A121)</f>
        <v/>
      </c>
      <c r="L121" s="15"/>
    </row>
    <row r="122" customFormat="false" ht="15" hidden="false" customHeight="false" outlineLevel="0" collapsed="false">
      <c r="A122" s="20"/>
      <c r="B122" s="26"/>
      <c r="C122" s="26"/>
      <c r="D122" s="14"/>
      <c r="E122" s="14"/>
      <c r="F122" s="15"/>
      <c r="G122" s="15"/>
      <c r="H122" s="15"/>
      <c r="I122" s="14"/>
      <c r="J122" s="20"/>
      <c r="K122" s="18" t="str">
        <f aca="false">IF(OR(A122="",J122=""),"",J122-A122)</f>
        <v/>
      </c>
      <c r="L122" s="15"/>
    </row>
    <row r="123" customFormat="false" ht="15" hidden="false" customHeight="false" outlineLevel="0" collapsed="false">
      <c r="A123" s="20"/>
      <c r="B123" s="26"/>
      <c r="C123" s="26"/>
      <c r="D123" s="14"/>
      <c r="E123" s="14"/>
      <c r="F123" s="15"/>
      <c r="G123" s="15"/>
      <c r="H123" s="15"/>
      <c r="I123" s="14"/>
      <c r="J123" s="20"/>
      <c r="K123" s="18" t="str">
        <f aca="false">IF(OR(A123="",J123=""),"",J123-A123)</f>
        <v/>
      </c>
      <c r="L123" s="15"/>
    </row>
    <row r="124" customFormat="false" ht="15" hidden="false" customHeight="false" outlineLevel="0" collapsed="false">
      <c r="A124" s="20"/>
      <c r="B124" s="26"/>
      <c r="C124" s="26"/>
      <c r="D124" s="14"/>
      <c r="E124" s="14"/>
      <c r="F124" s="15"/>
      <c r="G124" s="15"/>
      <c r="H124" s="15"/>
      <c r="I124" s="14"/>
      <c r="J124" s="20"/>
      <c r="K124" s="18" t="str">
        <f aca="false">IF(OR(A124="",J124=""),"",J124-A124)</f>
        <v/>
      </c>
      <c r="L124" s="15"/>
    </row>
    <row r="125" customFormat="false" ht="15" hidden="false" customHeight="false" outlineLevel="0" collapsed="false">
      <c r="A125" s="20"/>
      <c r="B125" s="26"/>
      <c r="C125" s="26"/>
      <c r="D125" s="14"/>
      <c r="E125" s="14"/>
      <c r="F125" s="15"/>
      <c r="G125" s="15"/>
      <c r="H125" s="15"/>
      <c r="I125" s="14"/>
      <c r="J125" s="20"/>
      <c r="K125" s="18" t="str">
        <f aca="false">IF(OR(A125="",J125=""),"",J125-A125)</f>
        <v/>
      </c>
      <c r="L125" s="15"/>
    </row>
    <row r="126" customFormat="false" ht="15" hidden="false" customHeight="false" outlineLevel="0" collapsed="false">
      <c r="A126" s="20"/>
      <c r="B126" s="26"/>
      <c r="C126" s="26"/>
      <c r="D126" s="14"/>
      <c r="E126" s="14"/>
      <c r="F126" s="15"/>
      <c r="G126" s="15"/>
      <c r="H126" s="15"/>
      <c r="I126" s="14"/>
      <c r="J126" s="20"/>
      <c r="K126" s="18" t="str">
        <f aca="false">IF(OR(A126="",J126=""),"",J126-A126)</f>
        <v/>
      </c>
      <c r="L126" s="15"/>
    </row>
    <row r="127" customFormat="false" ht="15" hidden="false" customHeight="false" outlineLevel="0" collapsed="false">
      <c r="A127" s="20"/>
      <c r="B127" s="26"/>
      <c r="C127" s="26"/>
      <c r="D127" s="14"/>
      <c r="E127" s="14"/>
      <c r="F127" s="15"/>
      <c r="G127" s="15"/>
      <c r="H127" s="15"/>
      <c r="I127" s="14"/>
      <c r="J127" s="20"/>
      <c r="K127" s="18" t="str">
        <f aca="false">IF(OR(A127="",J127=""),"",J127-A127)</f>
        <v/>
      </c>
      <c r="L127" s="15"/>
    </row>
    <row r="128" customFormat="false" ht="15" hidden="false" customHeight="false" outlineLevel="0" collapsed="false">
      <c r="A128" s="20"/>
      <c r="B128" s="26"/>
      <c r="C128" s="26"/>
      <c r="D128" s="14"/>
      <c r="E128" s="14"/>
      <c r="F128" s="15"/>
      <c r="G128" s="15"/>
      <c r="H128" s="15"/>
      <c r="I128" s="14"/>
      <c r="J128" s="20"/>
      <c r="K128" s="18" t="str">
        <f aca="false">IF(OR(A128="",J128=""),"",J128-A128)</f>
        <v/>
      </c>
      <c r="L128" s="15"/>
    </row>
    <row r="129" customFormat="false" ht="15" hidden="false" customHeight="false" outlineLevel="0" collapsed="false">
      <c r="A129" s="20"/>
      <c r="B129" s="26"/>
      <c r="C129" s="26"/>
      <c r="D129" s="14"/>
      <c r="E129" s="14"/>
      <c r="F129" s="15"/>
      <c r="G129" s="15"/>
      <c r="H129" s="15"/>
      <c r="I129" s="14"/>
      <c r="J129" s="20"/>
      <c r="K129" s="18" t="str">
        <f aca="false">IF(OR(A129="",J129=""),"",J129-A129)</f>
        <v/>
      </c>
      <c r="L129" s="15"/>
    </row>
    <row r="130" customFormat="false" ht="15" hidden="false" customHeight="false" outlineLevel="0" collapsed="false">
      <c r="A130" s="20"/>
      <c r="B130" s="26"/>
      <c r="C130" s="26"/>
      <c r="D130" s="14"/>
      <c r="E130" s="14"/>
      <c r="F130" s="15"/>
      <c r="G130" s="15"/>
      <c r="H130" s="15"/>
      <c r="I130" s="14"/>
      <c r="J130" s="20"/>
      <c r="K130" s="18" t="str">
        <f aca="false">IF(OR(A130="",J130=""),"",J130-A130)</f>
        <v/>
      </c>
      <c r="L130" s="15"/>
    </row>
    <row r="131" customFormat="false" ht="15" hidden="false" customHeight="false" outlineLevel="0" collapsed="false">
      <c r="A131" s="20"/>
      <c r="B131" s="26"/>
      <c r="C131" s="26"/>
      <c r="D131" s="14"/>
      <c r="E131" s="14"/>
      <c r="F131" s="15"/>
      <c r="G131" s="15"/>
      <c r="H131" s="15"/>
      <c r="I131" s="14"/>
      <c r="J131" s="20"/>
      <c r="K131" s="18" t="str">
        <f aca="false">IF(OR(A131="",J131=""),"",J131-A131)</f>
        <v/>
      </c>
      <c r="L131" s="15"/>
    </row>
    <row r="132" customFormat="false" ht="15" hidden="false" customHeight="false" outlineLevel="0" collapsed="false">
      <c r="A132" s="20"/>
      <c r="B132" s="26"/>
      <c r="C132" s="26"/>
      <c r="D132" s="14"/>
      <c r="E132" s="14"/>
      <c r="F132" s="15"/>
      <c r="G132" s="15"/>
      <c r="H132" s="15"/>
      <c r="I132" s="14"/>
      <c r="J132" s="20"/>
      <c r="K132" s="18" t="str">
        <f aca="false">IF(OR(A132="",J132=""),"",J132-A132)</f>
        <v/>
      </c>
      <c r="L132" s="15"/>
    </row>
    <row r="133" customFormat="false" ht="15" hidden="false" customHeight="false" outlineLevel="0" collapsed="false">
      <c r="A133" s="20"/>
      <c r="B133" s="26"/>
      <c r="C133" s="26"/>
      <c r="D133" s="14"/>
      <c r="E133" s="14"/>
      <c r="F133" s="15"/>
      <c r="G133" s="15"/>
      <c r="H133" s="15"/>
      <c r="I133" s="14"/>
      <c r="J133" s="20"/>
      <c r="K133" s="18" t="str">
        <f aca="false">IF(OR(A133="",J133=""),"",J133-A133)</f>
        <v/>
      </c>
      <c r="L133" s="15"/>
    </row>
    <row r="134" customFormat="false" ht="15" hidden="false" customHeight="false" outlineLevel="0" collapsed="false">
      <c r="A134" s="20"/>
      <c r="B134" s="26"/>
      <c r="C134" s="26"/>
      <c r="D134" s="14"/>
      <c r="E134" s="14"/>
      <c r="F134" s="15"/>
      <c r="G134" s="15"/>
      <c r="H134" s="15"/>
      <c r="I134" s="14"/>
      <c r="J134" s="20"/>
      <c r="K134" s="18" t="str">
        <f aca="false">IF(OR(A134="",J134=""),"",J134-A134)</f>
        <v/>
      </c>
      <c r="L134" s="15"/>
    </row>
    <row r="135" customFormat="false" ht="15" hidden="false" customHeight="false" outlineLevel="0" collapsed="false">
      <c r="A135" s="20"/>
      <c r="B135" s="26"/>
      <c r="C135" s="26"/>
      <c r="D135" s="14"/>
      <c r="E135" s="14"/>
      <c r="F135" s="15"/>
      <c r="G135" s="15"/>
      <c r="H135" s="15"/>
      <c r="I135" s="14"/>
      <c r="J135" s="20"/>
      <c r="K135" s="18" t="str">
        <f aca="false">IF(OR(A135="",J135=""),"",J135-A135)</f>
        <v/>
      </c>
      <c r="L135" s="15"/>
    </row>
    <row r="136" customFormat="false" ht="15" hidden="false" customHeight="false" outlineLevel="0" collapsed="false">
      <c r="A136" s="20"/>
      <c r="B136" s="26"/>
      <c r="C136" s="26"/>
      <c r="D136" s="14"/>
      <c r="E136" s="14"/>
      <c r="F136" s="15"/>
      <c r="G136" s="15"/>
      <c r="H136" s="15"/>
      <c r="I136" s="14"/>
      <c r="J136" s="20"/>
      <c r="K136" s="18" t="str">
        <f aca="false">IF(OR(A136="",J136=""),"",J136-A136)</f>
        <v/>
      </c>
      <c r="L136" s="15"/>
    </row>
    <row r="137" customFormat="false" ht="15" hidden="false" customHeight="false" outlineLevel="0" collapsed="false">
      <c r="A137" s="20"/>
      <c r="B137" s="26"/>
      <c r="C137" s="26"/>
      <c r="D137" s="14"/>
      <c r="E137" s="14"/>
      <c r="F137" s="15"/>
      <c r="G137" s="15"/>
      <c r="H137" s="15"/>
      <c r="I137" s="14"/>
      <c r="J137" s="20"/>
      <c r="K137" s="18" t="str">
        <f aca="false">IF(OR(A137="",J137=""),"",J137-A137)</f>
        <v/>
      </c>
      <c r="L137" s="15"/>
    </row>
    <row r="138" customFormat="false" ht="15" hidden="false" customHeight="false" outlineLevel="0" collapsed="false">
      <c r="A138" s="20"/>
      <c r="B138" s="26"/>
      <c r="C138" s="26"/>
      <c r="D138" s="14"/>
      <c r="E138" s="14"/>
      <c r="F138" s="15"/>
      <c r="G138" s="15"/>
      <c r="H138" s="15"/>
      <c r="I138" s="14"/>
      <c r="J138" s="20"/>
      <c r="K138" s="18" t="str">
        <f aca="false">IF(OR(A138="",J138=""),"",J138-A138)</f>
        <v/>
      </c>
      <c r="L138" s="15"/>
    </row>
    <row r="139" customFormat="false" ht="15" hidden="false" customHeight="false" outlineLevel="0" collapsed="false">
      <c r="A139" s="20"/>
      <c r="B139" s="26"/>
      <c r="C139" s="26"/>
      <c r="D139" s="14"/>
      <c r="E139" s="14"/>
      <c r="F139" s="15"/>
      <c r="G139" s="15"/>
      <c r="H139" s="15"/>
      <c r="I139" s="14"/>
      <c r="J139" s="20"/>
      <c r="K139" s="18" t="str">
        <f aca="false">IF(OR(A139="",J139=""),"",J139-A139)</f>
        <v/>
      </c>
      <c r="L139" s="15"/>
    </row>
    <row r="140" customFormat="false" ht="15" hidden="false" customHeight="false" outlineLevel="0" collapsed="false">
      <c r="A140" s="20"/>
      <c r="B140" s="26"/>
      <c r="C140" s="26"/>
      <c r="D140" s="14"/>
      <c r="E140" s="14"/>
      <c r="F140" s="15"/>
      <c r="G140" s="15"/>
      <c r="H140" s="15"/>
      <c r="I140" s="14"/>
      <c r="J140" s="20"/>
      <c r="K140" s="18" t="str">
        <f aca="false">IF(OR(A140="",J140=""),"",J140-A140)</f>
        <v/>
      </c>
      <c r="L140" s="15"/>
    </row>
    <row r="141" customFormat="false" ht="15" hidden="false" customHeight="false" outlineLevel="0" collapsed="false">
      <c r="A141" s="20"/>
      <c r="B141" s="26"/>
      <c r="C141" s="26"/>
      <c r="D141" s="14"/>
      <c r="E141" s="14"/>
      <c r="F141" s="15"/>
      <c r="G141" s="15"/>
      <c r="H141" s="15"/>
      <c r="I141" s="14"/>
      <c r="J141" s="20"/>
      <c r="K141" s="18" t="str">
        <f aca="false">IF(OR(A141="",J141=""),"",J141-A141)</f>
        <v/>
      </c>
      <c r="L141" s="15"/>
    </row>
    <row r="142" customFormat="false" ht="15" hidden="false" customHeight="false" outlineLevel="0" collapsed="false">
      <c r="A142" s="20"/>
      <c r="B142" s="26"/>
      <c r="C142" s="26"/>
      <c r="D142" s="14"/>
      <c r="E142" s="14"/>
      <c r="F142" s="15"/>
      <c r="G142" s="15"/>
      <c r="H142" s="15"/>
      <c r="I142" s="14"/>
      <c r="J142" s="20"/>
      <c r="K142" s="18" t="str">
        <f aca="false">IF(OR(A142="",J142=""),"",J142-A142)</f>
        <v/>
      </c>
      <c r="L142" s="15"/>
    </row>
    <row r="143" customFormat="false" ht="15" hidden="false" customHeight="false" outlineLevel="0" collapsed="false">
      <c r="A143" s="20"/>
      <c r="B143" s="26"/>
      <c r="C143" s="26"/>
      <c r="D143" s="14"/>
      <c r="E143" s="14"/>
      <c r="F143" s="15"/>
      <c r="G143" s="15"/>
      <c r="H143" s="15"/>
      <c r="I143" s="14"/>
      <c r="J143" s="20"/>
      <c r="K143" s="18" t="str">
        <f aca="false">IF(OR(A143="",J143=""),"",J143-A143)</f>
        <v/>
      </c>
      <c r="L143" s="15"/>
    </row>
    <row r="144" customFormat="false" ht="15" hidden="false" customHeight="false" outlineLevel="0" collapsed="false">
      <c r="A144" s="20"/>
      <c r="B144" s="26"/>
      <c r="C144" s="26"/>
      <c r="D144" s="14"/>
      <c r="E144" s="14"/>
      <c r="F144" s="15"/>
      <c r="G144" s="15"/>
      <c r="H144" s="15"/>
      <c r="I144" s="14"/>
      <c r="J144" s="20"/>
      <c r="K144" s="18" t="str">
        <f aca="false">IF(OR(A144="",J144=""),"",J144-A144)</f>
        <v/>
      </c>
      <c r="L144" s="15"/>
    </row>
    <row r="145" customFormat="false" ht="15" hidden="false" customHeight="false" outlineLevel="0" collapsed="false">
      <c r="A145" s="20"/>
      <c r="B145" s="26"/>
      <c r="C145" s="26"/>
      <c r="D145" s="14"/>
      <c r="E145" s="14"/>
      <c r="F145" s="15"/>
      <c r="G145" s="15"/>
      <c r="H145" s="15"/>
      <c r="I145" s="14"/>
      <c r="J145" s="20"/>
      <c r="K145" s="18" t="str">
        <f aca="false">IF(OR(A145="",J145=""),"",J145-A145)</f>
        <v/>
      </c>
      <c r="L145" s="15"/>
    </row>
    <row r="146" customFormat="false" ht="15" hidden="false" customHeight="false" outlineLevel="0" collapsed="false">
      <c r="A146" s="20"/>
      <c r="B146" s="26"/>
      <c r="C146" s="26"/>
      <c r="D146" s="14"/>
      <c r="E146" s="14"/>
      <c r="F146" s="15"/>
      <c r="G146" s="15"/>
      <c r="H146" s="15"/>
      <c r="I146" s="14"/>
      <c r="J146" s="20"/>
      <c r="K146" s="18" t="str">
        <f aca="false">IF(OR(A146="",J146=""),"",J146-A146)</f>
        <v/>
      </c>
      <c r="L146" s="15"/>
    </row>
    <row r="147" customFormat="false" ht="15" hidden="false" customHeight="false" outlineLevel="0" collapsed="false">
      <c r="A147" s="20"/>
      <c r="B147" s="26"/>
      <c r="C147" s="26"/>
      <c r="D147" s="14"/>
      <c r="E147" s="14"/>
      <c r="F147" s="15"/>
      <c r="G147" s="15"/>
      <c r="H147" s="15"/>
      <c r="I147" s="14"/>
      <c r="J147" s="20"/>
      <c r="K147" s="18" t="str">
        <f aca="false">IF(OR(A147="",J147=""),"",J147-A147)</f>
        <v/>
      </c>
      <c r="L147" s="15"/>
    </row>
    <row r="148" customFormat="false" ht="15" hidden="false" customHeight="false" outlineLevel="0" collapsed="false">
      <c r="A148" s="20"/>
      <c r="B148" s="26"/>
      <c r="C148" s="26"/>
      <c r="D148" s="14"/>
      <c r="E148" s="14"/>
      <c r="F148" s="15"/>
      <c r="G148" s="15"/>
      <c r="H148" s="15"/>
      <c r="I148" s="14"/>
      <c r="J148" s="20"/>
      <c r="K148" s="18" t="str">
        <f aca="false">IF(OR(A148="",J148=""),"",J148-A148)</f>
        <v/>
      </c>
      <c r="L148" s="15"/>
    </row>
    <row r="149" customFormat="false" ht="15" hidden="false" customHeight="false" outlineLevel="0" collapsed="false">
      <c r="A149" s="20"/>
      <c r="B149" s="26"/>
      <c r="C149" s="26"/>
      <c r="D149" s="14"/>
      <c r="E149" s="14"/>
      <c r="F149" s="15"/>
      <c r="G149" s="15"/>
      <c r="H149" s="15"/>
      <c r="I149" s="14"/>
      <c r="J149" s="20"/>
      <c r="K149" s="18" t="str">
        <f aca="false">IF(OR(A149="",J149=""),"",J149-A149)</f>
        <v/>
      </c>
      <c r="L149" s="15"/>
    </row>
    <row r="150" customFormat="false" ht="15" hidden="false" customHeight="false" outlineLevel="0" collapsed="false">
      <c r="A150" s="20"/>
      <c r="B150" s="26"/>
      <c r="C150" s="26"/>
      <c r="D150" s="14"/>
      <c r="E150" s="14"/>
      <c r="F150" s="15"/>
      <c r="G150" s="15"/>
      <c r="H150" s="15"/>
      <c r="I150" s="14"/>
      <c r="J150" s="20"/>
      <c r="K150" s="18" t="str">
        <f aca="false">IF(OR(A150="",J150=""),"",J150-A150)</f>
        <v/>
      </c>
      <c r="L150" s="15"/>
    </row>
    <row r="151" customFormat="false" ht="15" hidden="false" customHeight="false" outlineLevel="0" collapsed="false">
      <c r="A151" s="20"/>
      <c r="B151" s="26"/>
      <c r="C151" s="26"/>
      <c r="D151" s="14"/>
      <c r="E151" s="14"/>
      <c r="F151" s="15"/>
      <c r="G151" s="15"/>
      <c r="H151" s="15"/>
      <c r="I151" s="14"/>
      <c r="J151" s="20"/>
      <c r="K151" s="18" t="str">
        <f aca="false">IF(OR(A151="",J151=""),"",J151-A151)</f>
        <v/>
      </c>
      <c r="L151" s="15"/>
    </row>
    <row r="152" customFormat="false" ht="15" hidden="false" customHeight="false" outlineLevel="0" collapsed="false">
      <c r="A152" s="20"/>
      <c r="B152" s="26"/>
      <c r="C152" s="26"/>
      <c r="D152" s="14"/>
      <c r="E152" s="14"/>
      <c r="F152" s="15"/>
      <c r="G152" s="15"/>
      <c r="H152" s="15"/>
      <c r="I152" s="14"/>
      <c r="J152" s="20"/>
      <c r="K152" s="18" t="str">
        <f aca="false">IF(OR(A152="",J152=""),"",J152-A152)</f>
        <v/>
      </c>
      <c r="L152" s="15"/>
    </row>
    <row r="153" customFormat="false" ht="15" hidden="false" customHeight="false" outlineLevel="0" collapsed="false">
      <c r="A153" s="20"/>
      <c r="B153" s="26"/>
      <c r="C153" s="26"/>
      <c r="D153" s="14"/>
      <c r="E153" s="14"/>
      <c r="F153" s="15"/>
      <c r="G153" s="15"/>
      <c r="H153" s="15"/>
      <c r="I153" s="14"/>
      <c r="J153" s="20"/>
      <c r="K153" s="18" t="str">
        <f aca="false">IF(OR(A153="",J153=""),"",J153-A153)</f>
        <v/>
      </c>
      <c r="L153" s="15"/>
    </row>
    <row r="154" customFormat="false" ht="15" hidden="false" customHeight="false" outlineLevel="0" collapsed="false">
      <c r="A154" s="20"/>
      <c r="B154" s="26"/>
      <c r="C154" s="26"/>
      <c r="D154" s="14"/>
      <c r="E154" s="14"/>
      <c r="F154" s="15"/>
      <c r="G154" s="15"/>
      <c r="H154" s="15"/>
      <c r="I154" s="14"/>
      <c r="J154" s="20"/>
      <c r="K154" s="18" t="str">
        <f aca="false">IF(OR(A154="",J154=""),"",J154-A154)</f>
        <v/>
      </c>
      <c r="L154" s="15"/>
    </row>
    <row r="155" customFormat="false" ht="15" hidden="false" customHeight="false" outlineLevel="0" collapsed="false">
      <c r="A155" s="20"/>
      <c r="B155" s="26"/>
      <c r="C155" s="26"/>
      <c r="D155" s="14"/>
      <c r="E155" s="14"/>
      <c r="F155" s="15"/>
      <c r="G155" s="15"/>
      <c r="H155" s="15"/>
      <c r="I155" s="14"/>
      <c r="J155" s="20"/>
      <c r="K155" s="18" t="str">
        <f aca="false">IF(OR(A155="",J155=""),"",J155-A155)</f>
        <v/>
      </c>
      <c r="L155" s="15"/>
    </row>
    <row r="156" customFormat="false" ht="15" hidden="false" customHeight="false" outlineLevel="0" collapsed="false">
      <c r="A156" s="20"/>
      <c r="B156" s="26"/>
      <c r="C156" s="26"/>
      <c r="D156" s="14"/>
      <c r="E156" s="14"/>
      <c r="F156" s="15"/>
      <c r="G156" s="15"/>
      <c r="H156" s="15"/>
      <c r="I156" s="14"/>
      <c r="J156" s="20"/>
      <c r="K156" s="18" t="str">
        <f aca="false">IF(OR(A156="",J156=""),"",J156-A156)</f>
        <v/>
      </c>
      <c r="L156" s="15"/>
    </row>
    <row r="157" customFormat="false" ht="15" hidden="false" customHeight="false" outlineLevel="0" collapsed="false">
      <c r="A157" s="20"/>
      <c r="B157" s="26"/>
      <c r="C157" s="26"/>
      <c r="D157" s="14"/>
      <c r="E157" s="14"/>
      <c r="F157" s="15"/>
      <c r="G157" s="15"/>
      <c r="H157" s="15"/>
      <c r="I157" s="14"/>
      <c r="J157" s="20"/>
      <c r="K157" s="18" t="str">
        <f aca="false">IF(OR(A157="",J157=""),"",J157-A157)</f>
        <v/>
      </c>
      <c r="L157" s="15"/>
    </row>
    <row r="158" customFormat="false" ht="15" hidden="false" customHeight="false" outlineLevel="0" collapsed="false">
      <c r="A158" s="20"/>
      <c r="B158" s="26"/>
      <c r="C158" s="26"/>
      <c r="D158" s="14"/>
      <c r="E158" s="14"/>
      <c r="F158" s="15"/>
      <c r="G158" s="15"/>
      <c r="H158" s="15"/>
      <c r="I158" s="14"/>
      <c r="J158" s="20"/>
      <c r="K158" s="18" t="str">
        <f aca="false">IF(OR(A158="",J158=""),"",J158-A158)</f>
        <v/>
      </c>
      <c r="L158" s="15"/>
    </row>
    <row r="159" customFormat="false" ht="15" hidden="false" customHeight="false" outlineLevel="0" collapsed="false">
      <c r="A159" s="20"/>
      <c r="B159" s="26"/>
      <c r="C159" s="26"/>
      <c r="D159" s="14"/>
      <c r="E159" s="14"/>
      <c r="F159" s="15"/>
      <c r="G159" s="15"/>
      <c r="H159" s="15"/>
      <c r="I159" s="14"/>
      <c r="J159" s="20"/>
      <c r="K159" s="18" t="str">
        <f aca="false">IF(OR(A159="",J159=""),"",J159-A159)</f>
        <v/>
      </c>
      <c r="L159" s="15"/>
    </row>
    <row r="160" customFormat="false" ht="15" hidden="false" customHeight="false" outlineLevel="0" collapsed="false">
      <c r="A160" s="20"/>
      <c r="B160" s="26"/>
      <c r="C160" s="26"/>
      <c r="D160" s="14"/>
      <c r="E160" s="14"/>
      <c r="F160" s="15"/>
      <c r="G160" s="15"/>
      <c r="H160" s="15"/>
      <c r="I160" s="14"/>
      <c r="J160" s="20"/>
      <c r="K160" s="18" t="str">
        <f aca="false">IF(OR(A160="",J160=""),"",J160-A160)</f>
        <v/>
      </c>
      <c r="L160" s="15"/>
    </row>
    <row r="161" customFormat="false" ht="15" hidden="false" customHeight="false" outlineLevel="0" collapsed="false">
      <c r="A161" s="20"/>
      <c r="B161" s="26"/>
      <c r="C161" s="26"/>
      <c r="D161" s="14"/>
      <c r="E161" s="14"/>
      <c r="F161" s="15"/>
      <c r="G161" s="15"/>
      <c r="H161" s="15"/>
      <c r="I161" s="14"/>
      <c r="J161" s="20"/>
      <c r="K161" s="18" t="str">
        <f aca="false">IF(OR(A161="",J161=""),"",J161-A161)</f>
        <v/>
      </c>
      <c r="L161" s="15"/>
    </row>
    <row r="162" customFormat="false" ht="15" hidden="false" customHeight="false" outlineLevel="0" collapsed="false">
      <c r="A162" s="20"/>
      <c r="B162" s="26"/>
      <c r="C162" s="26"/>
      <c r="D162" s="14"/>
      <c r="E162" s="14"/>
      <c r="F162" s="15"/>
      <c r="G162" s="15"/>
      <c r="H162" s="15"/>
      <c r="I162" s="14"/>
      <c r="J162" s="20"/>
      <c r="K162" s="18" t="str">
        <f aca="false">IF(OR(A162="",J162=""),"",J162-A162)</f>
        <v/>
      </c>
      <c r="L162" s="15"/>
    </row>
    <row r="163" customFormat="false" ht="15" hidden="false" customHeight="false" outlineLevel="0" collapsed="false">
      <c r="A163" s="20"/>
      <c r="B163" s="26"/>
      <c r="C163" s="26"/>
      <c r="D163" s="14"/>
      <c r="E163" s="14"/>
      <c r="F163" s="15"/>
      <c r="G163" s="15"/>
      <c r="H163" s="15"/>
      <c r="I163" s="14"/>
      <c r="J163" s="20"/>
      <c r="K163" s="18" t="str">
        <f aca="false">IF(OR(A163="",J163=""),"",J163-A163)</f>
        <v/>
      </c>
      <c r="L163" s="15"/>
    </row>
    <row r="164" customFormat="false" ht="15" hidden="false" customHeight="false" outlineLevel="0" collapsed="false">
      <c r="A164" s="20"/>
      <c r="B164" s="26"/>
      <c r="C164" s="26"/>
      <c r="D164" s="14"/>
      <c r="E164" s="14"/>
      <c r="F164" s="15"/>
      <c r="G164" s="15"/>
      <c r="H164" s="15"/>
      <c r="I164" s="14"/>
      <c r="J164" s="20"/>
      <c r="K164" s="18" t="str">
        <f aca="false">IF(OR(A164="",J164=""),"",J164-A164)</f>
        <v/>
      </c>
      <c r="L164" s="15"/>
    </row>
    <row r="165" customFormat="false" ht="15" hidden="false" customHeight="false" outlineLevel="0" collapsed="false">
      <c r="A165" s="20"/>
      <c r="B165" s="26"/>
      <c r="C165" s="26"/>
      <c r="D165" s="14"/>
      <c r="E165" s="14"/>
      <c r="F165" s="15"/>
      <c r="G165" s="15"/>
      <c r="H165" s="15"/>
      <c r="I165" s="14"/>
      <c r="J165" s="20"/>
      <c r="K165" s="18" t="str">
        <f aca="false">IF(OR(A165="",J165=""),"",J165-A165)</f>
        <v/>
      </c>
      <c r="L165" s="15"/>
    </row>
    <row r="166" customFormat="false" ht="15" hidden="false" customHeight="false" outlineLevel="0" collapsed="false">
      <c r="A166" s="20"/>
      <c r="B166" s="26"/>
      <c r="C166" s="26"/>
      <c r="D166" s="14"/>
      <c r="E166" s="14"/>
      <c r="F166" s="15"/>
      <c r="G166" s="15"/>
      <c r="H166" s="15"/>
      <c r="I166" s="14"/>
      <c r="J166" s="20"/>
      <c r="K166" s="18" t="str">
        <f aca="false">IF(OR(A166="",J166=""),"",J166-A166)</f>
        <v/>
      </c>
      <c r="L166" s="15"/>
    </row>
    <row r="167" customFormat="false" ht="15" hidden="false" customHeight="false" outlineLevel="0" collapsed="false">
      <c r="A167" s="20"/>
      <c r="B167" s="26"/>
      <c r="C167" s="26"/>
      <c r="D167" s="14"/>
      <c r="E167" s="14"/>
      <c r="F167" s="15"/>
      <c r="G167" s="15"/>
      <c r="H167" s="15"/>
      <c r="I167" s="14"/>
      <c r="J167" s="20"/>
      <c r="K167" s="18" t="str">
        <f aca="false">IF(OR(A167="",J167=""),"",J167-A167)</f>
        <v/>
      </c>
      <c r="L167" s="15"/>
    </row>
    <row r="168" customFormat="false" ht="15" hidden="false" customHeight="false" outlineLevel="0" collapsed="false">
      <c r="A168" s="20"/>
      <c r="B168" s="26"/>
      <c r="C168" s="26"/>
      <c r="D168" s="14"/>
      <c r="E168" s="14"/>
      <c r="F168" s="15"/>
      <c r="G168" s="15"/>
      <c r="H168" s="15"/>
      <c r="I168" s="14"/>
      <c r="J168" s="20"/>
      <c r="K168" s="18" t="str">
        <f aca="false">IF(OR(A168="",J168=""),"",J168-A168)</f>
        <v/>
      </c>
      <c r="L168" s="15"/>
    </row>
    <row r="169" customFormat="false" ht="15" hidden="false" customHeight="false" outlineLevel="0" collapsed="false">
      <c r="A169" s="20"/>
      <c r="B169" s="26"/>
      <c r="C169" s="26"/>
      <c r="D169" s="14"/>
      <c r="E169" s="14"/>
      <c r="F169" s="15"/>
      <c r="G169" s="15"/>
      <c r="H169" s="15"/>
      <c r="I169" s="14"/>
      <c r="J169" s="20"/>
      <c r="K169" s="18" t="str">
        <f aca="false">IF(OR(A169="",J169=""),"",J169-A169)</f>
        <v/>
      </c>
      <c r="L169" s="15"/>
    </row>
    <row r="170" customFormat="false" ht="15" hidden="false" customHeight="false" outlineLevel="0" collapsed="false">
      <c r="A170" s="20"/>
      <c r="B170" s="26"/>
      <c r="C170" s="26"/>
      <c r="D170" s="14"/>
      <c r="E170" s="14"/>
      <c r="F170" s="15"/>
      <c r="G170" s="15"/>
      <c r="H170" s="15"/>
      <c r="I170" s="14"/>
      <c r="J170" s="20"/>
      <c r="K170" s="18" t="str">
        <f aca="false">IF(OR(A170="",J170=""),"",J170-A170)</f>
        <v/>
      </c>
      <c r="L170" s="15"/>
    </row>
    <row r="171" customFormat="false" ht="15" hidden="false" customHeight="false" outlineLevel="0" collapsed="false">
      <c r="A171" s="20"/>
      <c r="B171" s="26"/>
      <c r="C171" s="26"/>
      <c r="D171" s="14"/>
      <c r="E171" s="14"/>
      <c r="F171" s="15"/>
      <c r="G171" s="15"/>
      <c r="H171" s="15"/>
      <c r="I171" s="14"/>
      <c r="J171" s="20"/>
      <c r="K171" s="18" t="str">
        <f aca="false">IF(OR(A171="",J171=""),"",J171-A171)</f>
        <v/>
      </c>
      <c r="L171" s="15"/>
    </row>
    <row r="172" customFormat="false" ht="15" hidden="false" customHeight="false" outlineLevel="0" collapsed="false">
      <c r="A172" s="20"/>
      <c r="B172" s="26"/>
      <c r="C172" s="26"/>
      <c r="D172" s="14"/>
      <c r="E172" s="14"/>
      <c r="F172" s="15"/>
      <c r="G172" s="15"/>
      <c r="H172" s="15"/>
      <c r="I172" s="14"/>
      <c r="J172" s="20"/>
      <c r="K172" s="18" t="str">
        <f aca="false">IF(OR(A172="",J172=""),"",J172-A172)</f>
        <v/>
      </c>
      <c r="L172" s="15"/>
    </row>
    <row r="173" customFormat="false" ht="15" hidden="false" customHeight="false" outlineLevel="0" collapsed="false">
      <c r="A173" s="20"/>
      <c r="B173" s="26"/>
      <c r="C173" s="26"/>
      <c r="D173" s="14"/>
      <c r="E173" s="14"/>
      <c r="F173" s="15"/>
      <c r="G173" s="15"/>
      <c r="H173" s="15"/>
      <c r="I173" s="14"/>
      <c r="J173" s="20"/>
      <c r="K173" s="18" t="str">
        <f aca="false">IF(OR(A173="",J173=""),"",J173-A173)</f>
        <v/>
      </c>
      <c r="L173" s="15"/>
    </row>
    <row r="174" customFormat="false" ht="15" hidden="false" customHeight="false" outlineLevel="0" collapsed="false">
      <c r="A174" s="20"/>
      <c r="B174" s="26"/>
      <c r="C174" s="26"/>
      <c r="D174" s="14"/>
      <c r="E174" s="14"/>
      <c r="F174" s="15"/>
      <c r="G174" s="15"/>
      <c r="H174" s="15"/>
      <c r="I174" s="14"/>
      <c r="J174" s="20"/>
      <c r="K174" s="18" t="str">
        <f aca="false">IF(OR(A174="",J174=""),"",J174-A174)</f>
        <v/>
      </c>
      <c r="L174" s="15"/>
    </row>
    <row r="175" customFormat="false" ht="15" hidden="false" customHeight="false" outlineLevel="0" collapsed="false">
      <c r="A175" s="20"/>
      <c r="B175" s="26"/>
      <c r="C175" s="26"/>
      <c r="D175" s="14"/>
      <c r="E175" s="14"/>
      <c r="F175" s="15"/>
      <c r="G175" s="15"/>
      <c r="H175" s="15"/>
      <c r="I175" s="14"/>
      <c r="J175" s="20"/>
      <c r="K175" s="18" t="str">
        <f aca="false">IF(OR(A175="",J175=""),"",J175-A175)</f>
        <v/>
      </c>
      <c r="L175" s="15"/>
    </row>
    <row r="176" customFormat="false" ht="15" hidden="false" customHeight="false" outlineLevel="0" collapsed="false">
      <c r="A176" s="20"/>
      <c r="B176" s="26"/>
      <c r="C176" s="26"/>
      <c r="D176" s="14"/>
      <c r="E176" s="14"/>
      <c r="F176" s="15"/>
      <c r="G176" s="15"/>
      <c r="H176" s="15"/>
      <c r="I176" s="14"/>
      <c r="J176" s="20"/>
      <c r="K176" s="18" t="str">
        <f aca="false">IF(OR(A176="",J176=""),"",J176-A176)</f>
        <v/>
      </c>
      <c r="L176" s="15"/>
    </row>
    <row r="177" customFormat="false" ht="15" hidden="false" customHeight="false" outlineLevel="0" collapsed="false">
      <c r="A177" s="20"/>
      <c r="B177" s="26"/>
      <c r="C177" s="26"/>
      <c r="D177" s="14"/>
      <c r="E177" s="14"/>
      <c r="F177" s="15"/>
      <c r="G177" s="15"/>
      <c r="H177" s="15"/>
      <c r="I177" s="14"/>
      <c r="J177" s="20"/>
      <c r="K177" s="18" t="str">
        <f aca="false">IF(OR(A177="",J177=""),"",J177-A177)</f>
        <v/>
      </c>
      <c r="L177" s="15"/>
    </row>
    <row r="178" customFormat="false" ht="15" hidden="false" customHeight="false" outlineLevel="0" collapsed="false">
      <c r="A178" s="20"/>
      <c r="B178" s="26"/>
      <c r="C178" s="26"/>
      <c r="D178" s="14"/>
      <c r="E178" s="14"/>
      <c r="F178" s="15"/>
      <c r="G178" s="15"/>
      <c r="H178" s="15"/>
      <c r="I178" s="14"/>
      <c r="J178" s="20"/>
      <c r="K178" s="18" t="str">
        <f aca="false">IF(OR(A178="",J178=""),"",J178-A178)</f>
        <v/>
      </c>
      <c r="L178" s="15"/>
    </row>
    <row r="179" customFormat="false" ht="15" hidden="false" customHeight="false" outlineLevel="0" collapsed="false">
      <c r="A179" s="20"/>
      <c r="B179" s="26"/>
      <c r="C179" s="26"/>
      <c r="D179" s="14"/>
      <c r="E179" s="14"/>
      <c r="F179" s="15"/>
      <c r="G179" s="15"/>
      <c r="H179" s="15"/>
      <c r="I179" s="14"/>
      <c r="J179" s="20"/>
      <c r="K179" s="18" t="str">
        <f aca="false">IF(OR(A179="",J179=""),"",J179-A179)</f>
        <v/>
      </c>
      <c r="L179" s="15"/>
    </row>
    <row r="180" customFormat="false" ht="15" hidden="false" customHeight="false" outlineLevel="0" collapsed="false">
      <c r="A180" s="20"/>
      <c r="B180" s="26"/>
      <c r="C180" s="26"/>
      <c r="D180" s="14"/>
      <c r="E180" s="14"/>
      <c r="F180" s="15"/>
      <c r="G180" s="15"/>
      <c r="H180" s="15"/>
      <c r="I180" s="14"/>
      <c r="J180" s="20"/>
      <c r="K180" s="18" t="str">
        <f aca="false">IF(OR(A180="",J180=""),"",J180-A180)</f>
        <v/>
      </c>
      <c r="L180" s="15"/>
    </row>
    <row r="181" customFormat="false" ht="15" hidden="false" customHeight="false" outlineLevel="0" collapsed="false">
      <c r="A181" s="20"/>
      <c r="B181" s="26"/>
      <c r="C181" s="26"/>
      <c r="D181" s="14"/>
      <c r="E181" s="14"/>
      <c r="F181" s="15"/>
      <c r="G181" s="15"/>
      <c r="H181" s="15"/>
      <c r="I181" s="14"/>
      <c r="J181" s="20"/>
      <c r="K181" s="18" t="str">
        <f aca="false">IF(OR(A181="",J181=""),"",J181-A181)</f>
        <v/>
      </c>
      <c r="L181" s="15"/>
    </row>
    <row r="182" customFormat="false" ht="15" hidden="false" customHeight="false" outlineLevel="0" collapsed="false">
      <c r="A182" s="20"/>
      <c r="B182" s="26"/>
      <c r="C182" s="26"/>
      <c r="D182" s="14"/>
      <c r="E182" s="14"/>
      <c r="F182" s="15"/>
      <c r="G182" s="15"/>
      <c r="H182" s="15"/>
      <c r="I182" s="14"/>
      <c r="J182" s="20"/>
      <c r="K182" s="18" t="str">
        <f aca="false">IF(OR(A182="",J182=""),"",J182-A182)</f>
        <v/>
      </c>
      <c r="L182" s="15"/>
    </row>
    <row r="183" customFormat="false" ht="15" hidden="false" customHeight="false" outlineLevel="0" collapsed="false">
      <c r="A183" s="20"/>
      <c r="B183" s="26"/>
      <c r="C183" s="26"/>
      <c r="D183" s="14"/>
      <c r="E183" s="14"/>
      <c r="F183" s="15"/>
      <c r="G183" s="15"/>
      <c r="H183" s="15"/>
      <c r="I183" s="14"/>
      <c r="J183" s="20"/>
      <c r="K183" s="18" t="str">
        <f aca="false">IF(OR(A183="",J183=""),"",J183-A183)</f>
        <v/>
      </c>
      <c r="L183" s="15"/>
    </row>
    <row r="184" customFormat="false" ht="15" hidden="false" customHeight="false" outlineLevel="0" collapsed="false">
      <c r="A184" s="20"/>
      <c r="B184" s="26"/>
      <c r="C184" s="26"/>
      <c r="D184" s="14"/>
      <c r="E184" s="14"/>
      <c r="F184" s="15"/>
      <c r="G184" s="15"/>
      <c r="H184" s="15"/>
      <c r="I184" s="14"/>
      <c r="J184" s="20"/>
      <c r="K184" s="18" t="str">
        <f aca="false">IF(OR(A184="",J184=""),"",J184-A184)</f>
        <v/>
      </c>
      <c r="L184" s="15"/>
    </row>
    <row r="185" customFormat="false" ht="15" hidden="false" customHeight="false" outlineLevel="0" collapsed="false">
      <c r="A185" s="20"/>
      <c r="B185" s="26"/>
      <c r="C185" s="26"/>
      <c r="D185" s="14"/>
      <c r="E185" s="14"/>
      <c r="F185" s="15"/>
      <c r="G185" s="15"/>
      <c r="H185" s="15"/>
      <c r="I185" s="14"/>
      <c r="J185" s="20"/>
      <c r="K185" s="18" t="str">
        <f aca="false">IF(OR(A185="",J185=""),"",J185-A185)</f>
        <v/>
      </c>
      <c r="L185" s="15"/>
    </row>
    <row r="186" customFormat="false" ht="15" hidden="false" customHeight="false" outlineLevel="0" collapsed="false">
      <c r="A186" s="20"/>
      <c r="B186" s="26"/>
      <c r="C186" s="26"/>
      <c r="D186" s="14"/>
      <c r="E186" s="14"/>
      <c r="F186" s="15"/>
      <c r="G186" s="15"/>
      <c r="H186" s="15"/>
      <c r="I186" s="14"/>
      <c r="J186" s="20"/>
      <c r="K186" s="18" t="str">
        <f aca="false">IF(OR(A186="",J186=""),"",J186-A186)</f>
        <v/>
      </c>
      <c r="L186" s="15"/>
    </row>
    <row r="187" customFormat="false" ht="15" hidden="false" customHeight="false" outlineLevel="0" collapsed="false">
      <c r="A187" s="20"/>
      <c r="B187" s="26"/>
      <c r="C187" s="26"/>
      <c r="D187" s="14"/>
      <c r="E187" s="14"/>
      <c r="F187" s="15"/>
      <c r="G187" s="15"/>
      <c r="H187" s="15"/>
      <c r="I187" s="14"/>
      <c r="J187" s="20"/>
      <c r="K187" s="18" t="str">
        <f aca="false">IF(OR(A187="",J187=""),"",J187-A187)</f>
        <v/>
      </c>
      <c r="L187" s="15"/>
    </row>
    <row r="188" customFormat="false" ht="15" hidden="false" customHeight="false" outlineLevel="0" collapsed="false">
      <c r="A188" s="20"/>
      <c r="B188" s="26"/>
      <c r="C188" s="26"/>
      <c r="D188" s="14"/>
      <c r="E188" s="14"/>
      <c r="F188" s="15"/>
      <c r="G188" s="15"/>
      <c r="H188" s="15"/>
      <c r="I188" s="14"/>
      <c r="J188" s="20"/>
      <c r="K188" s="18" t="str">
        <f aca="false">IF(OR(A188="",J188=""),"",J188-A188)</f>
        <v/>
      </c>
      <c r="L188" s="15"/>
    </row>
    <row r="189" customFormat="false" ht="15" hidden="false" customHeight="false" outlineLevel="0" collapsed="false">
      <c r="A189" s="20"/>
      <c r="B189" s="26"/>
      <c r="C189" s="26"/>
      <c r="D189" s="14"/>
      <c r="E189" s="14"/>
      <c r="F189" s="15"/>
      <c r="G189" s="15"/>
      <c r="H189" s="15"/>
      <c r="I189" s="14"/>
      <c r="J189" s="20"/>
      <c r="K189" s="18" t="str">
        <f aca="false">IF(OR(A189="",J189=""),"",J189-A189)</f>
        <v/>
      </c>
      <c r="L189" s="15"/>
    </row>
    <row r="190" customFormat="false" ht="15" hidden="false" customHeight="false" outlineLevel="0" collapsed="false">
      <c r="A190" s="20"/>
      <c r="B190" s="26"/>
      <c r="C190" s="26"/>
      <c r="D190" s="14"/>
      <c r="E190" s="14"/>
      <c r="F190" s="15"/>
      <c r="G190" s="15"/>
      <c r="H190" s="15"/>
      <c r="I190" s="14"/>
      <c r="J190" s="20"/>
      <c r="K190" s="18" t="str">
        <f aca="false">IF(OR(A190="",J190=""),"",J190-A190)</f>
        <v/>
      </c>
      <c r="L190" s="15"/>
    </row>
    <row r="191" customFormat="false" ht="15" hidden="false" customHeight="false" outlineLevel="0" collapsed="false">
      <c r="A191" s="20"/>
      <c r="B191" s="26"/>
      <c r="C191" s="26"/>
      <c r="D191" s="14"/>
      <c r="E191" s="14"/>
      <c r="F191" s="15"/>
      <c r="G191" s="15"/>
      <c r="H191" s="15"/>
      <c r="I191" s="14"/>
      <c r="J191" s="20"/>
      <c r="K191" s="18" t="str">
        <f aca="false">IF(OR(A191="",J191=""),"",J191-A191)</f>
        <v/>
      </c>
      <c r="L191" s="15"/>
    </row>
    <row r="192" customFormat="false" ht="15" hidden="false" customHeight="false" outlineLevel="0" collapsed="false">
      <c r="A192" s="20"/>
      <c r="B192" s="26"/>
      <c r="C192" s="26"/>
      <c r="D192" s="14"/>
      <c r="E192" s="14"/>
      <c r="F192" s="15"/>
      <c r="G192" s="15"/>
      <c r="H192" s="15"/>
      <c r="I192" s="14"/>
      <c r="J192" s="20"/>
      <c r="K192" s="18" t="str">
        <f aca="false">IF(OR(A192="",J192=""),"",J192-A192)</f>
        <v/>
      </c>
      <c r="L192" s="15"/>
    </row>
    <row r="193" customFormat="false" ht="15" hidden="false" customHeight="false" outlineLevel="0" collapsed="false">
      <c r="A193" s="20"/>
      <c r="B193" s="26"/>
      <c r="C193" s="26"/>
      <c r="D193" s="14"/>
      <c r="E193" s="14"/>
      <c r="F193" s="15"/>
      <c r="G193" s="15"/>
      <c r="H193" s="15"/>
      <c r="I193" s="14"/>
      <c r="J193" s="20"/>
      <c r="K193" s="18" t="str">
        <f aca="false">IF(OR(A193="",J193=""),"",J193-A193)</f>
        <v/>
      </c>
      <c r="L193" s="15"/>
    </row>
    <row r="194" customFormat="false" ht="15" hidden="false" customHeight="false" outlineLevel="0" collapsed="false">
      <c r="A194" s="20"/>
      <c r="B194" s="26"/>
      <c r="C194" s="26"/>
      <c r="D194" s="14"/>
      <c r="E194" s="14"/>
      <c r="F194" s="15"/>
      <c r="G194" s="15"/>
      <c r="H194" s="15"/>
      <c r="I194" s="14"/>
      <c r="J194" s="20"/>
      <c r="K194" s="18" t="str">
        <f aca="false">IF(OR(A194="",J194=""),"",J194-A194)</f>
        <v/>
      </c>
      <c r="L194" s="15"/>
    </row>
    <row r="195" customFormat="false" ht="15" hidden="false" customHeight="false" outlineLevel="0" collapsed="false">
      <c r="A195" s="20"/>
      <c r="B195" s="26"/>
      <c r="C195" s="26"/>
      <c r="D195" s="14"/>
      <c r="E195" s="14"/>
      <c r="F195" s="15"/>
      <c r="G195" s="15"/>
      <c r="H195" s="15"/>
      <c r="I195" s="14"/>
      <c r="J195" s="20"/>
      <c r="K195" s="18" t="str">
        <f aca="false">IF(OR(A195="",J195=""),"",J195-A195)</f>
        <v/>
      </c>
      <c r="L195" s="15"/>
    </row>
    <row r="196" customFormat="false" ht="15" hidden="false" customHeight="false" outlineLevel="0" collapsed="false">
      <c r="A196" s="20"/>
      <c r="B196" s="26"/>
      <c r="C196" s="26"/>
      <c r="D196" s="14"/>
      <c r="E196" s="14"/>
      <c r="F196" s="15"/>
      <c r="G196" s="15"/>
      <c r="H196" s="15"/>
      <c r="I196" s="14"/>
      <c r="J196" s="20"/>
      <c r="K196" s="18" t="str">
        <f aca="false">IF(OR(A196="",J196=""),"",J196-A196)</f>
        <v/>
      </c>
      <c r="L196" s="15"/>
    </row>
    <row r="197" customFormat="false" ht="15" hidden="false" customHeight="false" outlineLevel="0" collapsed="false">
      <c r="A197" s="20"/>
      <c r="B197" s="26"/>
      <c r="C197" s="26"/>
      <c r="D197" s="14"/>
      <c r="E197" s="14"/>
      <c r="F197" s="15"/>
      <c r="G197" s="15"/>
      <c r="H197" s="15"/>
      <c r="I197" s="14"/>
      <c r="J197" s="20"/>
      <c r="K197" s="18" t="str">
        <f aca="false">IF(OR(A197="",J197=""),"",J197-A197)</f>
        <v/>
      </c>
      <c r="L197" s="15"/>
    </row>
    <row r="198" customFormat="false" ht="15" hidden="false" customHeight="false" outlineLevel="0" collapsed="false">
      <c r="A198" s="20"/>
      <c r="B198" s="26"/>
      <c r="C198" s="26"/>
      <c r="D198" s="14"/>
      <c r="E198" s="14"/>
      <c r="F198" s="15"/>
      <c r="G198" s="15"/>
      <c r="H198" s="15"/>
      <c r="I198" s="14"/>
      <c r="J198" s="20"/>
      <c r="K198" s="18" t="str">
        <f aca="false">IF(OR(A198="",J198=""),"",J198-A198)</f>
        <v/>
      </c>
      <c r="L198" s="15"/>
    </row>
    <row r="199" customFormat="false" ht="15" hidden="false" customHeight="false" outlineLevel="0" collapsed="false">
      <c r="A199" s="20"/>
      <c r="B199" s="26"/>
      <c r="C199" s="26"/>
      <c r="D199" s="14"/>
      <c r="E199" s="14"/>
      <c r="F199" s="15"/>
      <c r="G199" s="15"/>
      <c r="H199" s="15"/>
      <c r="I199" s="14"/>
      <c r="J199" s="20"/>
      <c r="K199" s="18" t="str">
        <f aca="false">IF(OR(A199="",J199=""),"",J199-A199)</f>
        <v/>
      </c>
      <c r="L199" s="15"/>
    </row>
    <row r="200" customFormat="false" ht="15" hidden="false" customHeight="false" outlineLevel="0" collapsed="false">
      <c r="A200" s="20"/>
      <c r="B200" s="26"/>
      <c r="C200" s="26"/>
      <c r="D200" s="14"/>
      <c r="E200" s="14"/>
      <c r="F200" s="15"/>
      <c r="G200" s="15"/>
      <c r="H200" s="15"/>
      <c r="I200" s="14"/>
      <c r="J200" s="20"/>
      <c r="K200" s="18" t="str">
        <f aca="false">IF(OR(A200="",J200=""),"",J200-A200)</f>
        <v/>
      </c>
      <c r="L200" s="15"/>
    </row>
    <row r="201" customFormat="false" ht="15" hidden="false" customHeight="false" outlineLevel="0" collapsed="false">
      <c r="A201" s="20"/>
      <c r="B201" s="26"/>
      <c r="C201" s="26"/>
      <c r="D201" s="14"/>
      <c r="E201" s="14"/>
      <c r="F201" s="15"/>
      <c r="G201" s="15"/>
      <c r="H201" s="15"/>
      <c r="I201" s="14"/>
      <c r="J201" s="20"/>
      <c r="K201" s="18" t="str">
        <f aca="false">IF(OR(A201="",J201=""),"",J201-A201)</f>
        <v/>
      </c>
      <c r="L201" s="15"/>
    </row>
    <row r="202" customFormat="false" ht="15" hidden="false" customHeight="false" outlineLevel="0" collapsed="false">
      <c r="A202" s="20"/>
      <c r="B202" s="26"/>
      <c r="C202" s="26"/>
      <c r="D202" s="14"/>
      <c r="E202" s="14"/>
      <c r="F202" s="15"/>
      <c r="G202" s="15"/>
      <c r="H202" s="15"/>
      <c r="I202" s="14"/>
      <c r="J202" s="20"/>
      <c r="K202" s="18" t="str">
        <f aca="false">IF(OR(A202="",J202=""),"",J202-A202)</f>
        <v/>
      </c>
      <c r="L202" s="15"/>
    </row>
    <row r="203" customFormat="false" ht="15" hidden="false" customHeight="false" outlineLevel="0" collapsed="false">
      <c r="A203" s="20"/>
      <c r="B203" s="26"/>
      <c r="C203" s="26"/>
      <c r="D203" s="14"/>
      <c r="E203" s="14"/>
      <c r="F203" s="15"/>
      <c r="G203" s="15"/>
      <c r="H203" s="15"/>
      <c r="I203" s="14"/>
      <c r="J203" s="20"/>
      <c r="K203" s="18" t="str">
        <f aca="false">IF(OR(A203="",J203=""),"",J203-A203)</f>
        <v/>
      </c>
      <c r="L203" s="15"/>
    </row>
    <row r="204" customFormat="false" ht="15" hidden="false" customHeight="false" outlineLevel="0" collapsed="false">
      <c r="A204" s="20"/>
      <c r="B204" s="26"/>
      <c r="C204" s="26"/>
      <c r="D204" s="14"/>
      <c r="E204" s="14"/>
      <c r="F204" s="15"/>
      <c r="G204" s="15"/>
      <c r="H204" s="15"/>
      <c r="I204" s="14"/>
      <c r="J204" s="20"/>
      <c r="K204" s="18" t="str">
        <f aca="false">IF(OR(A204="",J204=""),"",J204-A204)</f>
        <v/>
      </c>
      <c r="L204" s="15"/>
    </row>
    <row r="205" customFormat="false" ht="15" hidden="false" customHeight="false" outlineLevel="0" collapsed="false">
      <c r="A205" s="20"/>
      <c r="B205" s="26"/>
      <c r="C205" s="26"/>
      <c r="D205" s="14"/>
      <c r="E205" s="14"/>
      <c r="F205" s="15"/>
      <c r="G205" s="15"/>
      <c r="H205" s="15"/>
      <c r="I205" s="14"/>
      <c r="J205" s="20"/>
      <c r="K205" s="18" t="str">
        <f aca="false">IF(OR(A205="",J205=""),"",J205-A205)</f>
        <v/>
      </c>
      <c r="L205" s="15"/>
    </row>
  </sheetData>
  <autoFilter ref="A4:L205"/>
  <dataValidations count="1">
    <dataValidation allowBlank="true" errorStyle="stop" operator="between" showDropDown="false" showErrorMessage="true" showInputMessage="false" sqref="D5:E20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0006"/>
    <pageSetUpPr fitToPage="true"/>
  </sheetPr>
  <dimension ref="A1:K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5"/>
    <col collapsed="false" customWidth="true" hidden="false" outlineLevel="0" max="4" min="4" style="0" width="24"/>
    <col collapsed="false" customWidth="true" hidden="false" outlineLevel="0" max="5" min="5" style="0" width="16"/>
    <col collapsed="false" customWidth="true" hidden="false" outlineLevel="0" max="6" min="6" style="0" width="10"/>
    <col collapsed="false" customWidth="true" hidden="false" outlineLevel="0" max="7" min="7" style="0" width="44"/>
    <col collapsed="false" customWidth="true" hidden="false" outlineLevel="0" max="8" min="8" style="0" width="18"/>
    <col collapsed="false" customWidth="true" hidden="false" outlineLevel="0" max="9" min="9" style="0" width="13"/>
    <col collapsed="false" customWidth="true" hidden="false" outlineLevel="0" max="10" min="10" style="0" width="10"/>
    <col collapsed="false" customWidth="true" hidden="false" outlineLevel="0" max="11" min="11" style="0" width="40"/>
  </cols>
  <sheetData>
    <row r="1" customFormat="false" ht="19.7" hidden="false" customHeight="false" outlineLevel="0" collapsed="false">
      <c r="A1" s="1" t="s">
        <v>176</v>
      </c>
    </row>
    <row r="2" customFormat="false" ht="15" hidden="false" customHeight="false" outlineLevel="0" collapsed="false">
      <c r="A2" s="2" t="s">
        <v>177</v>
      </c>
    </row>
    <row r="4" customFormat="false" ht="30" hidden="false" customHeight="true" outlineLevel="0" collapsed="false">
      <c r="A4" s="13" t="s">
        <v>178</v>
      </c>
      <c r="B4" s="13" t="s">
        <v>179</v>
      </c>
      <c r="C4" s="13" t="s">
        <v>180</v>
      </c>
      <c r="D4" s="13" t="s">
        <v>181</v>
      </c>
      <c r="E4" s="13" t="s">
        <v>182</v>
      </c>
      <c r="F4" s="13" t="s">
        <v>183</v>
      </c>
      <c r="G4" s="13" t="s">
        <v>184</v>
      </c>
      <c r="H4" s="13" t="s">
        <v>55</v>
      </c>
      <c r="I4" s="13" t="s">
        <v>185</v>
      </c>
      <c r="J4" s="13" t="s">
        <v>186</v>
      </c>
      <c r="K4" s="13" t="s">
        <v>61</v>
      </c>
    </row>
    <row r="5" customFormat="false" ht="23.85" hidden="false" customHeight="false" outlineLevel="0" collapsed="false">
      <c r="A5" s="21" t="n">
        <v>46307</v>
      </c>
      <c r="B5" s="24" t="s">
        <v>187</v>
      </c>
      <c r="C5" s="23" t="s">
        <v>174</v>
      </c>
      <c r="D5" s="24" t="s">
        <v>188</v>
      </c>
      <c r="E5" s="23" t="s">
        <v>189</v>
      </c>
      <c r="F5" s="23" t="n">
        <v>0</v>
      </c>
      <c r="G5" s="24" t="s">
        <v>190</v>
      </c>
      <c r="H5" s="23" t="s">
        <v>191</v>
      </c>
      <c r="I5" s="21" t="n">
        <v>46307</v>
      </c>
      <c r="J5" s="25" t="n">
        <f aca="true">IF(A5="","",IF(I5="",TODAY()-A5,I5-A5))</f>
        <v>0</v>
      </c>
      <c r="K5" s="24" t="s">
        <v>172</v>
      </c>
    </row>
    <row r="6" customFormat="false" ht="15" hidden="false" customHeight="false" outlineLevel="0" collapsed="false">
      <c r="A6" s="20"/>
      <c r="B6" s="15"/>
      <c r="C6" s="14"/>
      <c r="D6" s="15"/>
      <c r="E6" s="14"/>
      <c r="F6" s="14"/>
      <c r="G6" s="15"/>
      <c r="H6" s="14"/>
      <c r="I6" s="20"/>
      <c r="J6" s="18" t="str">
        <f aca="true">IF(A6="","",IF(I6="",TODAY()-A6,I6-A6))</f>
        <v/>
      </c>
      <c r="K6" s="15"/>
    </row>
    <row r="7" customFormat="false" ht="15" hidden="false" customHeight="false" outlineLevel="0" collapsed="false">
      <c r="A7" s="20"/>
      <c r="B7" s="15"/>
      <c r="C7" s="14"/>
      <c r="D7" s="15"/>
      <c r="E7" s="14"/>
      <c r="F7" s="14"/>
      <c r="G7" s="15"/>
      <c r="H7" s="14"/>
      <c r="I7" s="20"/>
      <c r="J7" s="18" t="str">
        <f aca="true">IF(A7="","",IF(I7="",TODAY()-A7,I7-A7))</f>
        <v/>
      </c>
      <c r="K7" s="15"/>
    </row>
    <row r="8" customFormat="false" ht="15" hidden="false" customHeight="false" outlineLevel="0" collapsed="false">
      <c r="A8" s="20"/>
      <c r="B8" s="15"/>
      <c r="C8" s="14"/>
      <c r="D8" s="15"/>
      <c r="E8" s="14"/>
      <c r="F8" s="14"/>
      <c r="G8" s="15"/>
      <c r="H8" s="14"/>
      <c r="I8" s="20"/>
      <c r="J8" s="18" t="str">
        <f aca="true">IF(A8="","",IF(I8="",TODAY()-A8,I8-A8))</f>
        <v/>
      </c>
      <c r="K8" s="15"/>
    </row>
    <row r="9" customFormat="false" ht="15" hidden="false" customHeight="false" outlineLevel="0" collapsed="false">
      <c r="A9" s="20"/>
      <c r="B9" s="15"/>
      <c r="C9" s="14"/>
      <c r="D9" s="15"/>
      <c r="E9" s="14"/>
      <c r="F9" s="14"/>
      <c r="G9" s="15"/>
      <c r="H9" s="14"/>
      <c r="I9" s="20"/>
      <c r="J9" s="18" t="str">
        <f aca="true">IF(A9="","",IF(I9="",TODAY()-A9,I9-A9))</f>
        <v/>
      </c>
      <c r="K9" s="15"/>
    </row>
    <row r="10" customFormat="false" ht="15" hidden="false" customHeight="false" outlineLevel="0" collapsed="false">
      <c r="A10" s="20"/>
      <c r="B10" s="15"/>
      <c r="C10" s="14"/>
      <c r="D10" s="15"/>
      <c r="E10" s="14"/>
      <c r="F10" s="14"/>
      <c r="G10" s="15"/>
      <c r="H10" s="14"/>
      <c r="I10" s="20"/>
      <c r="J10" s="18" t="str">
        <f aca="true">IF(A10="","",IF(I10="",TODAY()-A10,I10-A10))</f>
        <v/>
      </c>
      <c r="K10" s="15"/>
    </row>
    <row r="11" customFormat="false" ht="15" hidden="false" customHeight="false" outlineLevel="0" collapsed="false">
      <c r="A11" s="20"/>
      <c r="B11" s="15"/>
      <c r="C11" s="14"/>
      <c r="D11" s="15"/>
      <c r="E11" s="14"/>
      <c r="F11" s="14"/>
      <c r="G11" s="15"/>
      <c r="H11" s="14"/>
      <c r="I11" s="20"/>
      <c r="J11" s="18" t="str">
        <f aca="true">IF(A11="","",IF(I11="",TODAY()-A11,I11-A11))</f>
        <v/>
      </c>
      <c r="K11" s="15"/>
    </row>
    <row r="12" customFormat="false" ht="15" hidden="false" customHeight="false" outlineLevel="0" collapsed="false">
      <c r="A12" s="20"/>
      <c r="B12" s="15"/>
      <c r="C12" s="14"/>
      <c r="D12" s="15"/>
      <c r="E12" s="14"/>
      <c r="F12" s="14"/>
      <c r="G12" s="15"/>
      <c r="H12" s="14"/>
      <c r="I12" s="20"/>
      <c r="J12" s="18" t="str">
        <f aca="true">IF(A12="","",IF(I12="",TODAY()-A12,I12-A12))</f>
        <v/>
      </c>
      <c r="K12" s="15"/>
    </row>
    <row r="13" customFormat="false" ht="15" hidden="false" customHeight="false" outlineLevel="0" collapsed="false">
      <c r="A13" s="20"/>
      <c r="B13" s="15"/>
      <c r="C13" s="14"/>
      <c r="D13" s="15"/>
      <c r="E13" s="14"/>
      <c r="F13" s="14"/>
      <c r="G13" s="15"/>
      <c r="H13" s="14"/>
      <c r="I13" s="20"/>
      <c r="J13" s="18" t="str">
        <f aca="true">IF(A13="","",IF(I13="",TODAY()-A13,I13-A13))</f>
        <v/>
      </c>
      <c r="K13" s="15"/>
    </row>
    <row r="14" customFormat="false" ht="15" hidden="false" customHeight="false" outlineLevel="0" collapsed="false">
      <c r="A14" s="20"/>
      <c r="B14" s="15"/>
      <c r="C14" s="14"/>
      <c r="D14" s="15"/>
      <c r="E14" s="14"/>
      <c r="F14" s="14"/>
      <c r="G14" s="15"/>
      <c r="H14" s="14"/>
      <c r="I14" s="20"/>
      <c r="J14" s="18" t="str">
        <f aca="true">IF(A14="","",IF(I14="",TODAY()-A14,I14-A14))</f>
        <v/>
      </c>
      <c r="K14" s="15"/>
    </row>
    <row r="15" customFormat="false" ht="15" hidden="false" customHeight="false" outlineLevel="0" collapsed="false">
      <c r="A15" s="20"/>
      <c r="B15" s="15"/>
      <c r="C15" s="14"/>
      <c r="D15" s="15"/>
      <c r="E15" s="14"/>
      <c r="F15" s="14"/>
      <c r="G15" s="15"/>
      <c r="H15" s="14"/>
      <c r="I15" s="20"/>
      <c r="J15" s="18" t="str">
        <f aca="true">IF(A15="","",IF(I15="",TODAY()-A15,I15-A15))</f>
        <v/>
      </c>
      <c r="K15" s="15"/>
    </row>
    <row r="16" customFormat="false" ht="15" hidden="false" customHeight="false" outlineLevel="0" collapsed="false">
      <c r="A16" s="20"/>
      <c r="B16" s="15"/>
      <c r="C16" s="14"/>
      <c r="D16" s="15"/>
      <c r="E16" s="14"/>
      <c r="F16" s="14"/>
      <c r="G16" s="15"/>
      <c r="H16" s="14"/>
      <c r="I16" s="20"/>
      <c r="J16" s="18" t="str">
        <f aca="true">IF(A16="","",IF(I16="",TODAY()-A16,I16-A16))</f>
        <v/>
      </c>
      <c r="K16" s="15"/>
    </row>
    <row r="17" customFormat="false" ht="15" hidden="false" customHeight="false" outlineLevel="0" collapsed="false">
      <c r="A17" s="20"/>
      <c r="B17" s="15"/>
      <c r="C17" s="14"/>
      <c r="D17" s="15"/>
      <c r="E17" s="14"/>
      <c r="F17" s="14"/>
      <c r="G17" s="15"/>
      <c r="H17" s="14"/>
      <c r="I17" s="20"/>
      <c r="J17" s="18" t="str">
        <f aca="true">IF(A17="","",IF(I17="",TODAY()-A17,I17-A17))</f>
        <v/>
      </c>
      <c r="K17" s="15"/>
    </row>
    <row r="18" customFormat="false" ht="15" hidden="false" customHeight="false" outlineLevel="0" collapsed="false">
      <c r="A18" s="20"/>
      <c r="B18" s="15"/>
      <c r="C18" s="14"/>
      <c r="D18" s="15"/>
      <c r="E18" s="14"/>
      <c r="F18" s="14"/>
      <c r="G18" s="15"/>
      <c r="H18" s="14"/>
      <c r="I18" s="20"/>
      <c r="J18" s="18" t="str">
        <f aca="true">IF(A18="","",IF(I18="",TODAY()-A18,I18-A18))</f>
        <v/>
      </c>
      <c r="K18" s="15"/>
    </row>
    <row r="19" customFormat="false" ht="15" hidden="false" customHeight="false" outlineLevel="0" collapsed="false">
      <c r="A19" s="20"/>
      <c r="B19" s="15"/>
      <c r="C19" s="14"/>
      <c r="D19" s="15"/>
      <c r="E19" s="14"/>
      <c r="F19" s="14"/>
      <c r="G19" s="15"/>
      <c r="H19" s="14"/>
      <c r="I19" s="20"/>
      <c r="J19" s="18" t="str">
        <f aca="true">IF(A19="","",IF(I19="",TODAY()-A19,I19-A19))</f>
        <v/>
      </c>
      <c r="K19" s="15"/>
    </row>
    <row r="20" customFormat="false" ht="15" hidden="false" customHeight="false" outlineLevel="0" collapsed="false">
      <c r="A20" s="20"/>
      <c r="B20" s="15"/>
      <c r="C20" s="14"/>
      <c r="D20" s="15"/>
      <c r="E20" s="14"/>
      <c r="F20" s="14"/>
      <c r="G20" s="15"/>
      <c r="H20" s="14"/>
      <c r="I20" s="20"/>
      <c r="J20" s="18" t="str">
        <f aca="true">IF(A20="","",IF(I20="",TODAY()-A20,I20-A20))</f>
        <v/>
      </c>
      <c r="K20" s="15"/>
    </row>
    <row r="21" customFormat="false" ht="15" hidden="false" customHeight="false" outlineLevel="0" collapsed="false">
      <c r="A21" s="20"/>
      <c r="B21" s="15"/>
      <c r="C21" s="14"/>
      <c r="D21" s="15"/>
      <c r="E21" s="14"/>
      <c r="F21" s="14"/>
      <c r="G21" s="15"/>
      <c r="H21" s="14"/>
      <c r="I21" s="20"/>
      <c r="J21" s="18" t="str">
        <f aca="true">IF(A21="","",IF(I21="",TODAY()-A21,I21-A21))</f>
        <v/>
      </c>
      <c r="K21" s="15"/>
    </row>
    <row r="22" customFormat="false" ht="15" hidden="false" customHeight="false" outlineLevel="0" collapsed="false">
      <c r="A22" s="20"/>
      <c r="B22" s="15"/>
      <c r="C22" s="14"/>
      <c r="D22" s="15"/>
      <c r="E22" s="14"/>
      <c r="F22" s="14"/>
      <c r="G22" s="15"/>
      <c r="H22" s="14"/>
      <c r="I22" s="20"/>
      <c r="J22" s="18" t="str">
        <f aca="true">IF(A22="","",IF(I22="",TODAY()-A22,I22-A22))</f>
        <v/>
      </c>
      <c r="K22" s="15"/>
    </row>
    <row r="23" customFormat="false" ht="15" hidden="false" customHeight="false" outlineLevel="0" collapsed="false">
      <c r="A23" s="20"/>
      <c r="B23" s="15"/>
      <c r="C23" s="14"/>
      <c r="D23" s="15"/>
      <c r="E23" s="14"/>
      <c r="F23" s="14"/>
      <c r="G23" s="15"/>
      <c r="H23" s="14"/>
      <c r="I23" s="20"/>
      <c r="J23" s="18" t="str">
        <f aca="true">IF(A23="","",IF(I23="",TODAY()-A23,I23-A23))</f>
        <v/>
      </c>
      <c r="K23" s="15"/>
    </row>
    <row r="24" customFormat="false" ht="15" hidden="false" customHeight="false" outlineLevel="0" collapsed="false">
      <c r="A24" s="20"/>
      <c r="B24" s="15"/>
      <c r="C24" s="14"/>
      <c r="D24" s="15"/>
      <c r="E24" s="14"/>
      <c r="F24" s="14"/>
      <c r="G24" s="15"/>
      <c r="H24" s="14"/>
      <c r="I24" s="20"/>
      <c r="J24" s="18" t="str">
        <f aca="true">IF(A24="","",IF(I24="",TODAY()-A24,I24-A24))</f>
        <v/>
      </c>
      <c r="K24" s="15"/>
    </row>
    <row r="25" customFormat="false" ht="15" hidden="false" customHeight="false" outlineLevel="0" collapsed="false">
      <c r="A25" s="20"/>
      <c r="B25" s="15"/>
      <c r="C25" s="14"/>
      <c r="D25" s="15"/>
      <c r="E25" s="14"/>
      <c r="F25" s="14"/>
      <c r="G25" s="15"/>
      <c r="H25" s="14"/>
      <c r="I25" s="20"/>
      <c r="J25" s="18" t="str">
        <f aca="true">IF(A25="","",IF(I25="",TODAY()-A25,I25-A25))</f>
        <v/>
      </c>
      <c r="K25" s="15"/>
    </row>
    <row r="26" customFormat="false" ht="15" hidden="false" customHeight="false" outlineLevel="0" collapsed="false">
      <c r="A26" s="20"/>
      <c r="B26" s="15"/>
      <c r="C26" s="14"/>
      <c r="D26" s="15"/>
      <c r="E26" s="14"/>
      <c r="F26" s="14"/>
      <c r="G26" s="15"/>
      <c r="H26" s="14"/>
      <c r="I26" s="20"/>
      <c r="J26" s="18" t="str">
        <f aca="true">IF(A26="","",IF(I26="",TODAY()-A26,I26-A26))</f>
        <v/>
      </c>
      <c r="K26" s="15"/>
    </row>
    <row r="27" customFormat="false" ht="15" hidden="false" customHeight="false" outlineLevel="0" collapsed="false">
      <c r="A27" s="20"/>
      <c r="B27" s="15"/>
      <c r="C27" s="14"/>
      <c r="D27" s="15"/>
      <c r="E27" s="14"/>
      <c r="F27" s="14"/>
      <c r="G27" s="15"/>
      <c r="H27" s="14"/>
      <c r="I27" s="20"/>
      <c r="J27" s="18" t="str">
        <f aca="true">IF(A27="","",IF(I27="",TODAY()-A27,I27-A27))</f>
        <v/>
      </c>
      <c r="K27" s="15"/>
    </row>
    <row r="28" customFormat="false" ht="15" hidden="false" customHeight="false" outlineLevel="0" collapsed="false">
      <c r="A28" s="20"/>
      <c r="B28" s="15"/>
      <c r="C28" s="14"/>
      <c r="D28" s="15"/>
      <c r="E28" s="14"/>
      <c r="F28" s="14"/>
      <c r="G28" s="15"/>
      <c r="H28" s="14"/>
      <c r="I28" s="20"/>
      <c r="J28" s="18" t="str">
        <f aca="true">IF(A28="","",IF(I28="",TODAY()-A28,I28-A28))</f>
        <v/>
      </c>
      <c r="K28" s="15"/>
    </row>
    <row r="29" customFormat="false" ht="15" hidden="false" customHeight="false" outlineLevel="0" collapsed="false">
      <c r="A29" s="20"/>
      <c r="B29" s="15"/>
      <c r="C29" s="14"/>
      <c r="D29" s="15"/>
      <c r="E29" s="14"/>
      <c r="F29" s="14"/>
      <c r="G29" s="15"/>
      <c r="H29" s="14"/>
      <c r="I29" s="20"/>
      <c r="J29" s="18" t="str">
        <f aca="true">IF(A29="","",IF(I29="",TODAY()-A29,I29-A29))</f>
        <v/>
      </c>
      <c r="K29" s="15"/>
    </row>
    <row r="30" customFormat="false" ht="15" hidden="false" customHeight="false" outlineLevel="0" collapsed="false">
      <c r="A30" s="20"/>
      <c r="B30" s="15"/>
      <c r="C30" s="14"/>
      <c r="D30" s="15"/>
      <c r="E30" s="14"/>
      <c r="F30" s="14"/>
      <c r="G30" s="15"/>
      <c r="H30" s="14"/>
      <c r="I30" s="20"/>
      <c r="J30" s="18" t="str">
        <f aca="true">IF(A30="","",IF(I30="",TODAY()-A30,I30-A30))</f>
        <v/>
      </c>
      <c r="K30" s="15"/>
    </row>
    <row r="31" customFormat="false" ht="15" hidden="false" customHeight="false" outlineLevel="0" collapsed="false">
      <c r="A31" s="20"/>
      <c r="B31" s="15"/>
      <c r="C31" s="14"/>
      <c r="D31" s="15"/>
      <c r="E31" s="14"/>
      <c r="F31" s="14"/>
      <c r="G31" s="15"/>
      <c r="H31" s="14"/>
      <c r="I31" s="20"/>
      <c r="J31" s="18" t="str">
        <f aca="true">IF(A31="","",IF(I31="",TODAY()-A31,I31-A31))</f>
        <v/>
      </c>
      <c r="K31" s="15"/>
    </row>
    <row r="32" customFormat="false" ht="15" hidden="false" customHeight="false" outlineLevel="0" collapsed="false">
      <c r="A32" s="20"/>
      <c r="B32" s="15"/>
      <c r="C32" s="14"/>
      <c r="D32" s="15"/>
      <c r="E32" s="14"/>
      <c r="F32" s="14"/>
      <c r="G32" s="15"/>
      <c r="H32" s="14"/>
      <c r="I32" s="20"/>
      <c r="J32" s="18" t="str">
        <f aca="true">IF(A32="","",IF(I32="",TODAY()-A32,I32-A32))</f>
        <v/>
      </c>
      <c r="K32" s="15"/>
    </row>
    <row r="33" customFormat="false" ht="15" hidden="false" customHeight="false" outlineLevel="0" collapsed="false">
      <c r="A33" s="20"/>
      <c r="B33" s="15"/>
      <c r="C33" s="14"/>
      <c r="D33" s="15"/>
      <c r="E33" s="14"/>
      <c r="F33" s="14"/>
      <c r="G33" s="15"/>
      <c r="H33" s="14"/>
      <c r="I33" s="20"/>
      <c r="J33" s="18" t="str">
        <f aca="true">IF(A33="","",IF(I33="",TODAY()-A33,I33-A33))</f>
        <v/>
      </c>
      <c r="K33" s="15"/>
    </row>
    <row r="34" customFormat="false" ht="15" hidden="false" customHeight="false" outlineLevel="0" collapsed="false">
      <c r="A34" s="20"/>
      <c r="B34" s="15"/>
      <c r="C34" s="14"/>
      <c r="D34" s="15"/>
      <c r="E34" s="14"/>
      <c r="F34" s="14"/>
      <c r="G34" s="15"/>
      <c r="H34" s="14"/>
      <c r="I34" s="20"/>
      <c r="J34" s="18" t="str">
        <f aca="true">IF(A34="","",IF(I34="",TODAY()-A34,I34-A34))</f>
        <v/>
      </c>
      <c r="K34" s="15"/>
    </row>
    <row r="35" customFormat="false" ht="15" hidden="false" customHeight="false" outlineLevel="0" collapsed="false">
      <c r="A35" s="20"/>
      <c r="B35" s="15"/>
      <c r="C35" s="14"/>
      <c r="D35" s="15"/>
      <c r="E35" s="14"/>
      <c r="F35" s="14"/>
      <c r="G35" s="15"/>
      <c r="H35" s="14"/>
      <c r="I35" s="20"/>
      <c r="J35" s="18" t="str">
        <f aca="true">IF(A35="","",IF(I35="",TODAY()-A35,I35-A35))</f>
        <v/>
      </c>
      <c r="K35" s="15"/>
    </row>
    <row r="36" customFormat="false" ht="15" hidden="false" customHeight="false" outlineLevel="0" collapsed="false">
      <c r="A36" s="20"/>
      <c r="B36" s="15"/>
      <c r="C36" s="14"/>
      <c r="D36" s="15"/>
      <c r="E36" s="14"/>
      <c r="F36" s="14"/>
      <c r="G36" s="15"/>
      <c r="H36" s="14"/>
      <c r="I36" s="20"/>
      <c r="J36" s="18" t="str">
        <f aca="true">IF(A36="","",IF(I36="",TODAY()-A36,I36-A36))</f>
        <v/>
      </c>
      <c r="K36" s="15"/>
    </row>
    <row r="37" customFormat="false" ht="15" hidden="false" customHeight="false" outlineLevel="0" collapsed="false">
      <c r="A37" s="20"/>
      <c r="B37" s="15"/>
      <c r="C37" s="14"/>
      <c r="D37" s="15"/>
      <c r="E37" s="14"/>
      <c r="F37" s="14"/>
      <c r="G37" s="15"/>
      <c r="H37" s="14"/>
      <c r="I37" s="20"/>
      <c r="J37" s="18" t="str">
        <f aca="true">IF(A37="","",IF(I37="",TODAY()-A37,I37-A37))</f>
        <v/>
      </c>
      <c r="K37" s="15"/>
    </row>
    <row r="38" customFormat="false" ht="15" hidden="false" customHeight="false" outlineLevel="0" collapsed="false">
      <c r="A38" s="20"/>
      <c r="B38" s="15"/>
      <c r="C38" s="14"/>
      <c r="D38" s="15"/>
      <c r="E38" s="14"/>
      <c r="F38" s="14"/>
      <c r="G38" s="15"/>
      <c r="H38" s="14"/>
      <c r="I38" s="20"/>
      <c r="J38" s="18" t="str">
        <f aca="true">IF(A38="","",IF(I38="",TODAY()-A38,I38-A38))</f>
        <v/>
      </c>
      <c r="K38" s="15"/>
    </row>
    <row r="39" customFormat="false" ht="15" hidden="false" customHeight="false" outlineLevel="0" collapsed="false">
      <c r="A39" s="20"/>
      <c r="B39" s="15"/>
      <c r="C39" s="14"/>
      <c r="D39" s="15"/>
      <c r="E39" s="14"/>
      <c r="F39" s="14"/>
      <c r="G39" s="15"/>
      <c r="H39" s="14"/>
      <c r="I39" s="20"/>
      <c r="J39" s="18" t="str">
        <f aca="true">IF(A39="","",IF(I39="",TODAY()-A39,I39-A39))</f>
        <v/>
      </c>
      <c r="K39" s="15"/>
    </row>
    <row r="40" customFormat="false" ht="15" hidden="false" customHeight="false" outlineLevel="0" collapsed="false">
      <c r="A40" s="20"/>
      <c r="B40" s="15"/>
      <c r="C40" s="14"/>
      <c r="D40" s="15"/>
      <c r="E40" s="14"/>
      <c r="F40" s="14"/>
      <c r="G40" s="15"/>
      <c r="H40" s="14"/>
      <c r="I40" s="20"/>
      <c r="J40" s="18" t="str">
        <f aca="true">IF(A40="","",IF(I40="",TODAY()-A40,I40-A40))</f>
        <v/>
      </c>
      <c r="K40" s="15"/>
    </row>
    <row r="41" customFormat="false" ht="15" hidden="false" customHeight="false" outlineLevel="0" collapsed="false">
      <c r="A41" s="20"/>
      <c r="B41" s="15"/>
      <c r="C41" s="14"/>
      <c r="D41" s="15"/>
      <c r="E41" s="14"/>
      <c r="F41" s="14"/>
      <c r="G41" s="15"/>
      <c r="H41" s="14"/>
      <c r="I41" s="20"/>
      <c r="J41" s="18" t="str">
        <f aca="true">IF(A41="","",IF(I41="",TODAY()-A41,I41-A41))</f>
        <v/>
      </c>
      <c r="K41" s="15"/>
    </row>
    <row r="42" customFormat="false" ht="15" hidden="false" customHeight="false" outlineLevel="0" collapsed="false">
      <c r="A42" s="20"/>
      <c r="B42" s="15"/>
      <c r="C42" s="14"/>
      <c r="D42" s="15"/>
      <c r="E42" s="14"/>
      <c r="F42" s="14"/>
      <c r="G42" s="15"/>
      <c r="H42" s="14"/>
      <c r="I42" s="20"/>
      <c r="J42" s="18" t="str">
        <f aca="true">IF(A42="","",IF(I42="",TODAY()-A42,I42-A42))</f>
        <v/>
      </c>
      <c r="K42" s="15"/>
    </row>
    <row r="43" customFormat="false" ht="15" hidden="false" customHeight="false" outlineLevel="0" collapsed="false">
      <c r="A43" s="20"/>
      <c r="B43" s="15"/>
      <c r="C43" s="14"/>
      <c r="D43" s="15"/>
      <c r="E43" s="14"/>
      <c r="F43" s="14"/>
      <c r="G43" s="15"/>
      <c r="H43" s="14"/>
      <c r="I43" s="20"/>
      <c r="J43" s="18" t="str">
        <f aca="true">IF(A43="","",IF(I43="",TODAY()-A43,I43-A43))</f>
        <v/>
      </c>
      <c r="K43" s="15"/>
    </row>
    <row r="44" customFormat="false" ht="15" hidden="false" customHeight="false" outlineLevel="0" collapsed="false">
      <c r="A44" s="20"/>
      <c r="B44" s="15"/>
      <c r="C44" s="14"/>
      <c r="D44" s="15"/>
      <c r="E44" s="14"/>
      <c r="F44" s="14"/>
      <c r="G44" s="15"/>
      <c r="H44" s="14"/>
      <c r="I44" s="20"/>
      <c r="J44" s="18" t="str">
        <f aca="true">IF(A44="","",IF(I44="",TODAY()-A44,I44-A44))</f>
        <v/>
      </c>
      <c r="K44" s="15"/>
    </row>
    <row r="45" customFormat="false" ht="15" hidden="false" customHeight="false" outlineLevel="0" collapsed="false">
      <c r="A45" s="20"/>
      <c r="B45" s="15"/>
      <c r="C45" s="14"/>
      <c r="D45" s="15"/>
      <c r="E45" s="14"/>
      <c r="F45" s="14"/>
      <c r="G45" s="15"/>
      <c r="H45" s="14"/>
      <c r="I45" s="20"/>
      <c r="J45" s="18" t="str">
        <f aca="true">IF(A45="","",IF(I45="",TODAY()-A45,I45-A45))</f>
        <v/>
      </c>
      <c r="K45" s="15"/>
    </row>
    <row r="46" customFormat="false" ht="15" hidden="false" customHeight="false" outlineLevel="0" collapsed="false">
      <c r="A46" s="20"/>
      <c r="B46" s="15"/>
      <c r="C46" s="14"/>
      <c r="D46" s="15"/>
      <c r="E46" s="14"/>
      <c r="F46" s="14"/>
      <c r="G46" s="15"/>
      <c r="H46" s="14"/>
      <c r="I46" s="20"/>
      <c r="J46" s="18" t="str">
        <f aca="true">IF(A46="","",IF(I46="",TODAY()-A46,I46-A46))</f>
        <v/>
      </c>
      <c r="K46" s="15"/>
    </row>
    <row r="47" customFormat="false" ht="15" hidden="false" customHeight="false" outlineLevel="0" collapsed="false">
      <c r="A47" s="20"/>
      <c r="B47" s="15"/>
      <c r="C47" s="14"/>
      <c r="D47" s="15"/>
      <c r="E47" s="14"/>
      <c r="F47" s="14"/>
      <c r="G47" s="15"/>
      <c r="H47" s="14"/>
      <c r="I47" s="20"/>
      <c r="J47" s="18" t="str">
        <f aca="true">IF(A47="","",IF(I47="",TODAY()-A47,I47-A47))</f>
        <v/>
      </c>
      <c r="K47" s="15"/>
    </row>
    <row r="48" customFormat="false" ht="15" hidden="false" customHeight="false" outlineLevel="0" collapsed="false">
      <c r="A48" s="20"/>
      <c r="B48" s="15"/>
      <c r="C48" s="14"/>
      <c r="D48" s="15"/>
      <c r="E48" s="14"/>
      <c r="F48" s="14"/>
      <c r="G48" s="15"/>
      <c r="H48" s="14"/>
      <c r="I48" s="20"/>
      <c r="J48" s="18" t="str">
        <f aca="true">IF(A48="","",IF(I48="",TODAY()-A48,I48-A48))</f>
        <v/>
      </c>
      <c r="K48" s="15"/>
    </row>
    <row r="49" customFormat="false" ht="15" hidden="false" customHeight="false" outlineLevel="0" collapsed="false">
      <c r="A49" s="20"/>
      <c r="B49" s="15"/>
      <c r="C49" s="14"/>
      <c r="D49" s="15"/>
      <c r="E49" s="14"/>
      <c r="F49" s="14"/>
      <c r="G49" s="15"/>
      <c r="H49" s="14"/>
      <c r="I49" s="20"/>
      <c r="J49" s="18" t="str">
        <f aca="true">IF(A49="","",IF(I49="",TODAY()-A49,I49-A49))</f>
        <v/>
      </c>
      <c r="K49" s="15"/>
    </row>
    <row r="50" customFormat="false" ht="15" hidden="false" customHeight="false" outlineLevel="0" collapsed="false">
      <c r="A50" s="20"/>
      <c r="B50" s="15"/>
      <c r="C50" s="14"/>
      <c r="D50" s="15"/>
      <c r="E50" s="14"/>
      <c r="F50" s="14"/>
      <c r="G50" s="15"/>
      <c r="H50" s="14"/>
      <c r="I50" s="20"/>
      <c r="J50" s="18" t="str">
        <f aca="true">IF(A50="","",IF(I50="",TODAY()-A50,I50-A50))</f>
        <v/>
      </c>
      <c r="K50" s="15"/>
    </row>
    <row r="51" customFormat="false" ht="15" hidden="false" customHeight="false" outlineLevel="0" collapsed="false">
      <c r="A51" s="20"/>
      <c r="B51" s="15"/>
      <c r="C51" s="14"/>
      <c r="D51" s="15"/>
      <c r="E51" s="14"/>
      <c r="F51" s="14"/>
      <c r="G51" s="15"/>
      <c r="H51" s="14"/>
      <c r="I51" s="20"/>
      <c r="J51" s="18" t="str">
        <f aca="true">IF(A51="","",IF(I51="",TODAY()-A51,I51-A51))</f>
        <v/>
      </c>
      <c r="K51" s="15"/>
    </row>
    <row r="52" customFormat="false" ht="15" hidden="false" customHeight="false" outlineLevel="0" collapsed="false">
      <c r="A52" s="20"/>
      <c r="B52" s="15"/>
      <c r="C52" s="14"/>
      <c r="D52" s="15"/>
      <c r="E52" s="14"/>
      <c r="F52" s="14"/>
      <c r="G52" s="15"/>
      <c r="H52" s="14"/>
      <c r="I52" s="20"/>
      <c r="J52" s="18" t="str">
        <f aca="true">IF(A52="","",IF(I52="",TODAY()-A52,I52-A52))</f>
        <v/>
      </c>
      <c r="K52" s="15"/>
    </row>
    <row r="53" customFormat="false" ht="15" hidden="false" customHeight="false" outlineLevel="0" collapsed="false">
      <c r="A53" s="20"/>
      <c r="B53" s="15"/>
      <c r="C53" s="14"/>
      <c r="D53" s="15"/>
      <c r="E53" s="14"/>
      <c r="F53" s="14"/>
      <c r="G53" s="15"/>
      <c r="H53" s="14"/>
      <c r="I53" s="20"/>
      <c r="J53" s="18" t="str">
        <f aca="true">IF(A53="","",IF(I53="",TODAY()-A53,I53-A53))</f>
        <v/>
      </c>
      <c r="K53" s="15"/>
    </row>
    <row r="54" customFormat="false" ht="15" hidden="false" customHeight="false" outlineLevel="0" collapsed="false">
      <c r="A54" s="20"/>
      <c r="B54" s="15"/>
      <c r="C54" s="14"/>
      <c r="D54" s="15"/>
      <c r="E54" s="14"/>
      <c r="F54" s="14"/>
      <c r="G54" s="15"/>
      <c r="H54" s="14"/>
      <c r="I54" s="20"/>
      <c r="J54" s="18" t="str">
        <f aca="true">IF(A54="","",IF(I54="",TODAY()-A54,I54-A54))</f>
        <v/>
      </c>
      <c r="K54" s="15"/>
    </row>
    <row r="55" customFormat="false" ht="15" hidden="false" customHeight="false" outlineLevel="0" collapsed="false">
      <c r="A55" s="20"/>
      <c r="B55" s="15"/>
      <c r="C55" s="14"/>
      <c r="D55" s="15"/>
      <c r="E55" s="14"/>
      <c r="F55" s="14"/>
      <c r="G55" s="15"/>
      <c r="H55" s="14"/>
      <c r="I55" s="20"/>
      <c r="J55" s="18" t="str">
        <f aca="true">IF(A55="","",IF(I55="",TODAY()-A55,I55-A55))</f>
        <v/>
      </c>
      <c r="K55" s="15"/>
    </row>
    <row r="56" customFormat="false" ht="15" hidden="false" customHeight="false" outlineLevel="0" collapsed="false">
      <c r="A56" s="20"/>
      <c r="B56" s="15"/>
      <c r="C56" s="14"/>
      <c r="D56" s="15"/>
      <c r="E56" s="14"/>
      <c r="F56" s="14"/>
      <c r="G56" s="15"/>
      <c r="H56" s="14"/>
      <c r="I56" s="20"/>
      <c r="J56" s="18" t="str">
        <f aca="true">IF(A56="","",IF(I56="",TODAY()-A56,I56-A56))</f>
        <v/>
      </c>
      <c r="K56" s="15"/>
    </row>
    <row r="57" customFormat="false" ht="15" hidden="false" customHeight="false" outlineLevel="0" collapsed="false">
      <c r="A57" s="20"/>
      <c r="B57" s="15"/>
      <c r="C57" s="14"/>
      <c r="D57" s="15"/>
      <c r="E57" s="14"/>
      <c r="F57" s="14"/>
      <c r="G57" s="15"/>
      <c r="H57" s="14"/>
      <c r="I57" s="20"/>
      <c r="J57" s="18" t="str">
        <f aca="true">IF(A57="","",IF(I57="",TODAY()-A57,I57-A57))</f>
        <v/>
      </c>
      <c r="K57" s="15"/>
    </row>
    <row r="58" customFormat="false" ht="15" hidden="false" customHeight="false" outlineLevel="0" collapsed="false">
      <c r="A58" s="20"/>
      <c r="B58" s="15"/>
      <c r="C58" s="14"/>
      <c r="D58" s="15"/>
      <c r="E58" s="14"/>
      <c r="F58" s="14"/>
      <c r="G58" s="15"/>
      <c r="H58" s="14"/>
      <c r="I58" s="20"/>
      <c r="J58" s="18" t="str">
        <f aca="true">IF(A58="","",IF(I58="",TODAY()-A58,I58-A58))</f>
        <v/>
      </c>
      <c r="K58" s="15"/>
    </row>
    <row r="59" customFormat="false" ht="15" hidden="false" customHeight="false" outlineLevel="0" collapsed="false">
      <c r="A59" s="20"/>
      <c r="B59" s="15"/>
      <c r="C59" s="14"/>
      <c r="D59" s="15"/>
      <c r="E59" s="14"/>
      <c r="F59" s="14"/>
      <c r="G59" s="15"/>
      <c r="H59" s="14"/>
      <c r="I59" s="20"/>
      <c r="J59" s="18" t="str">
        <f aca="true">IF(A59="","",IF(I59="",TODAY()-A59,I59-A59))</f>
        <v/>
      </c>
      <c r="K59" s="15"/>
    </row>
    <row r="60" customFormat="false" ht="15" hidden="false" customHeight="false" outlineLevel="0" collapsed="false">
      <c r="A60" s="20"/>
      <c r="B60" s="15"/>
      <c r="C60" s="14"/>
      <c r="D60" s="15"/>
      <c r="E60" s="14"/>
      <c r="F60" s="14"/>
      <c r="G60" s="15"/>
      <c r="H60" s="14"/>
      <c r="I60" s="20"/>
      <c r="J60" s="18" t="str">
        <f aca="true">IF(A60="","",IF(I60="",TODAY()-A60,I60-A60))</f>
        <v/>
      </c>
      <c r="K60" s="15"/>
    </row>
    <row r="61" customFormat="false" ht="15" hidden="false" customHeight="false" outlineLevel="0" collapsed="false">
      <c r="A61" s="20"/>
      <c r="B61" s="15"/>
      <c r="C61" s="14"/>
      <c r="D61" s="15"/>
      <c r="E61" s="14"/>
      <c r="F61" s="14"/>
      <c r="G61" s="15"/>
      <c r="H61" s="14"/>
      <c r="I61" s="20"/>
      <c r="J61" s="18" t="str">
        <f aca="true">IF(A61="","",IF(I61="",TODAY()-A61,I61-A61))</f>
        <v/>
      </c>
      <c r="K61" s="15"/>
    </row>
    <row r="62" customFormat="false" ht="15" hidden="false" customHeight="false" outlineLevel="0" collapsed="false">
      <c r="A62" s="20"/>
      <c r="B62" s="15"/>
      <c r="C62" s="14"/>
      <c r="D62" s="15"/>
      <c r="E62" s="14"/>
      <c r="F62" s="14"/>
      <c r="G62" s="15"/>
      <c r="H62" s="14"/>
      <c r="I62" s="20"/>
      <c r="J62" s="18" t="str">
        <f aca="true">IF(A62="","",IF(I62="",TODAY()-A62,I62-A62))</f>
        <v/>
      </c>
      <c r="K62" s="15"/>
    </row>
    <row r="63" customFormat="false" ht="15" hidden="false" customHeight="false" outlineLevel="0" collapsed="false">
      <c r="A63" s="20"/>
      <c r="B63" s="15"/>
      <c r="C63" s="14"/>
      <c r="D63" s="15"/>
      <c r="E63" s="14"/>
      <c r="F63" s="14"/>
      <c r="G63" s="15"/>
      <c r="H63" s="14"/>
      <c r="I63" s="20"/>
      <c r="J63" s="18" t="str">
        <f aca="true">IF(A63="","",IF(I63="",TODAY()-A63,I63-A63))</f>
        <v/>
      </c>
      <c r="K63" s="15"/>
    </row>
    <row r="64" customFormat="false" ht="15" hidden="false" customHeight="false" outlineLevel="0" collapsed="false">
      <c r="A64" s="20"/>
      <c r="B64" s="15"/>
      <c r="C64" s="14"/>
      <c r="D64" s="15"/>
      <c r="E64" s="14"/>
      <c r="F64" s="14"/>
      <c r="G64" s="15"/>
      <c r="H64" s="14"/>
      <c r="I64" s="20"/>
      <c r="J64" s="18" t="str">
        <f aca="true">IF(A64="","",IF(I64="",TODAY()-A64,I64-A64))</f>
        <v/>
      </c>
      <c r="K64" s="15"/>
    </row>
    <row r="65" customFormat="false" ht="15" hidden="false" customHeight="false" outlineLevel="0" collapsed="false">
      <c r="A65" s="20"/>
      <c r="B65" s="15"/>
      <c r="C65" s="14"/>
      <c r="D65" s="15"/>
      <c r="E65" s="14"/>
      <c r="F65" s="14"/>
      <c r="G65" s="15"/>
      <c r="H65" s="14"/>
      <c r="I65" s="20"/>
      <c r="J65" s="18" t="str">
        <f aca="true">IF(A65="","",IF(I65="",TODAY()-A65,I65-A65))</f>
        <v/>
      </c>
      <c r="K65" s="15"/>
    </row>
    <row r="66" customFormat="false" ht="15" hidden="false" customHeight="false" outlineLevel="0" collapsed="false">
      <c r="A66" s="20"/>
      <c r="B66" s="15"/>
      <c r="C66" s="14"/>
      <c r="D66" s="15"/>
      <c r="E66" s="14"/>
      <c r="F66" s="14"/>
      <c r="G66" s="15"/>
      <c r="H66" s="14"/>
      <c r="I66" s="20"/>
      <c r="J66" s="18" t="str">
        <f aca="true">IF(A66="","",IF(I66="",TODAY()-A66,I66-A66))</f>
        <v/>
      </c>
      <c r="K66" s="15"/>
    </row>
    <row r="67" customFormat="false" ht="15" hidden="false" customHeight="false" outlineLevel="0" collapsed="false">
      <c r="A67" s="20"/>
      <c r="B67" s="15"/>
      <c r="C67" s="14"/>
      <c r="D67" s="15"/>
      <c r="E67" s="14"/>
      <c r="F67" s="14"/>
      <c r="G67" s="15"/>
      <c r="H67" s="14"/>
      <c r="I67" s="20"/>
      <c r="J67" s="18" t="str">
        <f aca="true">IF(A67="","",IF(I67="",TODAY()-A67,I67-A67))</f>
        <v/>
      </c>
      <c r="K67" s="15"/>
    </row>
    <row r="68" customFormat="false" ht="15" hidden="false" customHeight="false" outlineLevel="0" collapsed="false">
      <c r="A68" s="20"/>
      <c r="B68" s="15"/>
      <c r="C68" s="14"/>
      <c r="D68" s="15"/>
      <c r="E68" s="14"/>
      <c r="F68" s="14"/>
      <c r="G68" s="15"/>
      <c r="H68" s="14"/>
      <c r="I68" s="20"/>
      <c r="J68" s="18" t="str">
        <f aca="true">IF(A68="","",IF(I68="",TODAY()-A68,I68-A68))</f>
        <v/>
      </c>
      <c r="K68" s="15"/>
    </row>
    <row r="69" customFormat="false" ht="15" hidden="false" customHeight="false" outlineLevel="0" collapsed="false">
      <c r="A69" s="20"/>
      <c r="B69" s="15"/>
      <c r="C69" s="14"/>
      <c r="D69" s="15"/>
      <c r="E69" s="14"/>
      <c r="F69" s="14"/>
      <c r="G69" s="15"/>
      <c r="H69" s="14"/>
      <c r="I69" s="20"/>
      <c r="J69" s="18" t="str">
        <f aca="true">IF(A69="","",IF(I69="",TODAY()-A69,I69-A69))</f>
        <v/>
      </c>
      <c r="K69" s="15"/>
    </row>
    <row r="70" customFormat="false" ht="15" hidden="false" customHeight="false" outlineLevel="0" collapsed="false">
      <c r="A70" s="20"/>
      <c r="B70" s="15"/>
      <c r="C70" s="14"/>
      <c r="D70" s="15"/>
      <c r="E70" s="14"/>
      <c r="F70" s="14"/>
      <c r="G70" s="15"/>
      <c r="H70" s="14"/>
      <c r="I70" s="20"/>
      <c r="J70" s="18" t="str">
        <f aca="true">IF(A70="","",IF(I70="",TODAY()-A70,I70-A70))</f>
        <v/>
      </c>
      <c r="K70" s="15"/>
    </row>
    <row r="71" customFormat="false" ht="15" hidden="false" customHeight="false" outlineLevel="0" collapsed="false">
      <c r="A71" s="20"/>
      <c r="B71" s="15"/>
      <c r="C71" s="14"/>
      <c r="D71" s="15"/>
      <c r="E71" s="14"/>
      <c r="F71" s="14"/>
      <c r="G71" s="15"/>
      <c r="H71" s="14"/>
      <c r="I71" s="20"/>
      <c r="J71" s="18" t="str">
        <f aca="true">IF(A71="","",IF(I71="",TODAY()-A71,I71-A71))</f>
        <v/>
      </c>
      <c r="K71" s="15"/>
    </row>
    <row r="72" customFormat="false" ht="15" hidden="false" customHeight="false" outlineLevel="0" collapsed="false">
      <c r="A72" s="20"/>
      <c r="B72" s="15"/>
      <c r="C72" s="14"/>
      <c r="D72" s="15"/>
      <c r="E72" s="14"/>
      <c r="F72" s="14"/>
      <c r="G72" s="15"/>
      <c r="H72" s="14"/>
      <c r="I72" s="20"/>
      <c r="J72" s="18" t="str">
        <f aca="true">IF(A72="","",IF(I72="",TODAY()-A72,I72-A72))</f>
        <v/>
      </c>
      <c r="K72" s="15"/>
    </row>
    <row r="73" customFormat="false" ht="15" hidden="false" customHeight="false" outlineLevel="0" collapsed="false">
      <c r="A73" s="20"/>
      <c r="B73" s="15"/>
      <c r="C73" s="14"/>
      <c r="D73" s="15"/>
      <c r="E73" s="14"/>
      <c r="F73" s="14"/>
      <c r="G73" s="15"/>
      <c r="H73" s="14"/>
      <c r="I73" s="20"/>
      <c r="J73" s="18" t="str">
        <f aca="true">IF(A73="","",IF(I73="",TODAY()-A73,I73-A73))</f>
        <v/>
      </c>
      <c r="K73" s="15"/>
    </row>
    <row r="74" customFormat="false" ht="15" hidden="false" customHeight="false" outlineLevel="0" collapsed="false">
      <c r="A74" s="20"/>
      <c r="B74" s="15"/>
      <c r="C74" s="14"/>
      <c r="D74" s="15"/>
      <c r="E74" s="14"/>
      <c r="F74" s="14"/>
      <c r="G74" s="15"/>
      <c r="H74" s="14"/>
      <c r="I74" s="20"/>
      <c r="J74" s="18" t="str">
        <f aca="true">IF(A74="","",IF(I74="",TODAY()-A74,I74-A74))</f>
        <v/>
      </c>
      <c r="K74" s="15"/>
    </row>
    <row r="75" customFormat="false" ht="15" hidden="false" customHeight="false" outlineLevel="0" collapsed="false">
      <c r="A75" s="20"/>
      <c r="B75" s="15"/>
      <c r="C75" s="14"/>
      <c r="D75" s="15"/>
      <c r="E75" s="14"/>
      <c r="F75" s="14"/>
      <c r="G75" s="15"/>
      <c r="H75" s="14"/>
      <c r="I75" s="20"/>
      <c r="J75" s="18" t="str">
        <f aca="true">IF(A75="","",IF(I75="",TODAY()-A75,I75-A75))</f>
        <v/>
      </c>
      <c r="K75" s="15"/>
    </row>
    <row r="76" customFormat="false" ht="15" hidden="false" customHeight="false" outlineLevel="0" collapsed="false">
      <c r="A76" s="20"/>
      <c r="B76" s="15"/>
      <c r="C76" s="14"/>
      <c r="D76" s="15"/>
      <c r="E76" s="14"/>
      <c r="F76" s="14"/>
      <c r="G76" s="15"/>
      <c r="H76" s="14"/>
      <c r="I76" s="20"/>
      <c r="J76" s="18" t="str">
        <f aca="true">IF(A76="","",IF(I76="",TODAY()-A76,I76-A76))</f>
        <v/>
      </c>
      <c r="K76" s="15"/>
    </row>
    <row r="77" customFormat="false" ht="15" hidden="false" customHeight="false" outlineLevel="0" collapsed="false">
      <c r="A77" s="20"/>
      <c r="B77" s="15"/>
      <c r="C77" s="14"/>
      <c r="D77" s="15"/>
      <c r="E77" s="14"/>
      <c r="F77" s="14"/>
      <c r="G77" s="15"/>
      <c r="H77" s="14"/>
      <c r="I77" s="20"/>
      <c r="J77" s="18" t="str">
        <f aca="true">IF(A77="","",IF(I77="",TODAY()-A77,I77-A77))</f>
        <v/>
      </c>
      <c r="K77" s="15"/>
    </row>
    <row r="78" customFormat="false" ht="15" hidden="false" customHeight="false" outlineLevel="0" collapsed="false">
      <c r="A78" s="20"/>
      <c r="B78" s="15"/>
      <c r="C78" s="14"/>
      <c r="D78" s="15"/>
      <c r="E78" s="14"/>
      <c r="F78" s="14"/>
      <c r="G78" s="15"/>
      <c r="H78" s="14"/>
      <c r="I78" s="20"/>
      <c r="J78" s="18" t="str">
        <f aca="true">IF(A78="","",IF(I78="",TODAY()-A78,I78-A78))</f>
        <v/>
      </c>
      <c r="K78" s="15"/>
    </row>
    <row r="79" customFormat="false" ht="15" hidden="false" customHeight="false" outlineLevel="0" collapsed="false">
      <c r="A79" s="20"/>
      <c r="B79" s="15"/>
      <c r="C79" s="14"/>
      <c r="D79" s="15"/>
      <c r="E79" s="14"/>
      <c r="F79" s="14"/>
      <c r="G79" s="15"/>
      <c r="H79" s="14"/>
      <c r="I79" s="20"/>
      <c r="J79" s="18" t="str">
        <f aca="true">IF(A79="","",IF(I79="",TODAY()-A79,I79-A79))</f>
        <v/>
      </c>
      <c r="K79" s="15"/>
    </row>
    <row r="80" customFormat="false" ht="15" hidden="false" customHeight="false" outlineLevel="0" collapsed="false">
      <c r="A80" s="20"/>
      <c r="B80" s="15"/>
      <c r="C80" s="14"/>
      <c r="D80" s="15"/>
      <c r="E80" s="14"/>
      <c r="F80" s="14"/>
      <c r="G80" s="15"/>
      <c r="H80" s="14"/>
      <c r="I80" s="20"/>
      <c r="J80" s="18" t="str">
        <f aca="true">IF(A80="","",IF(I80="",TODAY()-A80,I80-A80))</f>
        <v/>
      </c>
      <c r="K80" s="15"/>
    </row>
    <row r="81" customFormat="false" ht="15" hidden="false" customHeight="false" outlineLevel="0" collapsed="false">
      <c r="A81" s="20"/>
      <c r="B81" s="15"/>
      <c r="C81" s="14"/>
      <c r="D81" s="15"/>
      <c r="E81" s="14"/>
      <c r="F81" s="14"/>
      <c r="G81" s="15"/>
      <c r="H81" s="14"/>
      <c r="I81" s="20"/>
      <c r="J81" s="18" t="str">
        <f aca="true">IF(A81="","",IF(I81="",TODAY()-A81,I81-A81))</f>
        <v/>
      </c>
      <c r="K81" s="15"/>
    </row>
    <row r="82" customFormat="false" ht="15" hidden="false" customHeight="false" outlineLevel="0" collapsed="false">
      <c r="A82" s="20"/>
      <c r="B82" s="15"/>
      <c r="C82" s="14"/>
      <c r="D82" s="15"/>
      <c r="E82" s="14"/>
      <c r="F82" s="14"/>
      <c r="G82" s="15"/>
      <c r="H82" s="14"/>
      <c r="I82" s="20"/>
      <c r="J82" s="18" t="str">
        <f aca="true">IF(A82="","",IF(I82="",TODAY()-A82,I82-A82))</f>
        <v/>
      </c>
      <c r="K82" s="15"/>
    </row>
    <row r="83" customFormat="false" ht="15" hidden="false" customHeight="false" outlineLevel="0" collapsed="false">
      <c r="A83" s="20"/>
      <c r="B83" s="15"/>
      <c r="C83" s="14"/>
      <c r="D83" s="15"/>
      <c r="E83" s="14"/>
      <c r="F83" s="14"/>
      <c r="G83" s="15"/>
      <c r="H83" s="14"/>
      <c r="I83" s="20"/>
      <c r="J83" s="18" t="str">
        <f aca="true">IF(A83="","",IF(I83="",TODAY()-A83,I83-A83))</f>
        <v/>
      </c>
      <c r="K83" s="15"/>
    </row>
    <row r="84" customFormat="false" ht="15" hidden="false" customHeight="false" outlineLevel="0" collapsed="false">
      <c r="A84" s="20"/>
      <c r="B84" s="15"/>
      <c r="C84" s="14"/>
      <c r="D84" s="15"/>
      <c r="E84" s="14"/>
      <c r="F84" s="14"/>
      <c r="G84" s="15"/>
      <c r="H84" s="14"/>
      <c r="I84" s="20"/>
      <c r="J84" s="18" t="str">
        <f aca="true">IF(A84="","",IF(I84="",TODAY()-A84,I84-A84))</f>
        <v/>
      </c>
      <c r="K84" s="15"/>
    </row>
    <row r="85" customFormat="false" ht="15" hidden="false" customHeight="false" outlineLevel="0" collapsed="false">
      <c r="A85" s="20"/>
      <c r="B85" s="15"/>
      <c r="C85" s="14"/>
      <c r="D85" s="15"/>
      <c r="E85" s="14"/>
      <c r="F85" s="14"/>
      <c r="G85" s="15"/>
      <c r="H85" s="14"/>
      <c r="I85" s="20"/>
      <c r="J85" s="18" t="str">
        <f aca="true">IF(A85="","",IF(I85="",TODAY()-A85,I85-A85))</f>
        <v/>
      </c>
      <c r="K85" s="15"/>
    </row>
    <row r="86" customFormat="false" ht="15" hidden="false" customHeight="false" outlineLevel="0" collapsed="false">
      <c r="A86" s="20"/>
      <c r="B86" s="15"/>
      <c r="C86" s="14"/>
      <c r="D86" s="15"/>
      <c r="E86" s="14"/>
      <c r="F86" s="14"/>
      <c r="G86" s="15"/>
      <c r="H86" s="14"/>
      <c r="I86" s="20"/>
      <c r="J86" s="18" t="str">
        <f aca="true">IF(A86="","",IF(I86="",TODAY()-A86,I86-A86))</f>
        <v/>
      </c>
      <c r="K86" s="15"/>
    </row>
    <row r="87" customFormat="false" ht="15" hidden="false" customHeight="false" outlineLevel="0" collapsed="false">
      <c r="A87" s="20"/>
      <c r="B87" s="15"/>
      <c r="C87" s="14"/>
      <c r="D87" s="15"/>
      <c r="E87" s="14"/>
      <c r="F87" s="14"/>
      <c r="G87" s="15"/>
      <c r="H87" s="14"/>
      <c r="I87" s="20"/>
      <c r="J87" s="18" t="str">
        <f aca="true">IF(A87="","",IF(I87="",TODAY()-A87,I87-A87))</f>
        <v/>
      </c>
      <c r="K87" s="15"/>
    </row>
    <row r="88" customFormat="false" ht="15" hidden="false" customHeight="false" outlineLevel="0" collapsed="false">
      <c r="A88" s="20"/>
      <c r="B88" s="15"/>
      <c r="C88" s="14"/>
      <c r="D88" s="15"/>
      <c r="E88" s="14"/>
      <c r="F88" s="14"/>
      <c r="G88" s="15"/>
      <c r="H88" s="14"/>
      <c r="I88" s="20"/>
      <c r="J88" s="18" t="str">
        <f aca="true">IF(A88="","",IF(I88="",TODAY()-A88,I88-A88))</f>
        <v/>
      </c>
      <c r="K88" s="15"/>
    </row>
    <row r="89" customFormat="false" ht="15" hidden="false" customHeight="false" outlineLevel="0" collapsed="false">
      <c r="A89" s="20"/>
      <c r="B89" s="15"/>
      <c r="C89" s="14"/>
      <c r="D89" s="15"/>
      <c r="E89" s="14"/>
      <c r="F89" s="14"/>
      <c r="G89" s="15"/>
      <c r="H89" s="14"/>
      <c r="I89" s="20"/>
      <c r="J89" s="18" t="str">
        <f aca="true">IF(A89="","",IF(I89="",TODAY()-A89,I89-A89))</f>
        <v/>
      </c>
      <c r="K89" s="15"/>
    </row>
    <row r="90" customFormat="false" ht="15" hidden="false" customHeight="false" outlineLevel="0" collapsed="false">
      <c r="A90" s="20"/>
      <c r="B90" s="15"/>
      <c r="C90" s="14"/>
      <c r="D90" s="15"/>
      <c r="E90" s="14"/>
      <c r="F90" s="14"/>
      <c r="G90" s="15"/>
      <c r="H90" s="14"/>
      <c r="I90" s="20"/>
      <c r="J90" s="18" t="str">
        <f aca="true">IF(A90="","",IF(I90="",TODAY()-A90,I90-A90))</f>
        <v/>
      </c>
      <c r="K90" s="15"/>
    </row>
    <row r="91" customFormat="false" ht="15" hidden="false" customHeight="false" outlineLevel="0" collapsed="false">
      <c r="A91" s="20"/>
      <c r="B91" s="15"/>
      <c r="C91" s="14"/>
      <c r="D91" s="15"/>
      <c r="E91" s="14"/>
      <c r="F91" s="14"/>
      <c r="G91" s="15"/>
      <c r="H91" s="14"/>
      <c r="I91" s="20"/>
      <c r="J91" s="18" t="str">
        <f aca="true">IF(A91="","",IF(I91="",TODAY()-A91,I91-A91))</f>
        <v/>
      </c>
      <c r="K91" s="15"/>
    </row>
    <row r="92" customFormat="false" ht="15" hidden="false" customHeight="false" outlineLevel="0" collapsed="false">
      <c r="A92" s="20"/>
      <c r="B92" s="15"/>
      <c r="C92" s="14"/>
      <c r="D92" s="15"/>
      <c r="E92" s="14"/>
      <c r="F92" s="14"/>
      <c r="G92" s="15"/>
      <c r="H92" s="14"/>
      <c r="I92" s="20"/>
      <c r="J92" s="18" t="str">
        <f aca="true">IF(A92="","",IF(I92="",TODAY()-A92,I92-A92))</f>
        <v/>
      </c>
      <c r="K92" s="15"/>
    </row>
    <row r="93" customFormat="false" ht="15" hidden="false" customHeight="false" outlineLevel="0" collapsed="false">
      <c r="A93" s="20"/>
      <c r="B93" s="15"/>
      <c r="C93" s="14"/>
      <c r="D93" s="15"/>
      <c r="E93" s="14"/>
      <c r="F93" s="14"/>
      <c r="G93" s="15"/>
      <c r="H93" s="14"/>
      <c r="I93" s="20"/>
      <c r="J93" s="18" t="str">
        <f aca="true">IF(A93="","",IF(I93="",TODAY()-A93,I93-A93))</f>
        <v/>
      </c>
      <c r="K93" s="15"/>
    </row>
    <row r="94" customFormat="false" ht="15" hidden="false" customHeight="false" outlineLevel="0" collapsed="false">
      <c r="A94" s="20"/>
      <c r="B94" s="15"/>
      <c r="C94" s="14"/>
      <c r="D94" s="15"/>
      <c r="E94" s="14"/>
      <c r="F94" s="14"/>
      <c r="G94" s="15"/>
      <c r="H94" s="14"/>
      <c r="I94" s="20"/>
      <c r="J94" s="18" t="str">
        <f aca="true">IF(A94="","",IF(I94="",TODAY()-A94,I94-A94))</f>
        <v/>
      </c>
      <c r="K94" s="15"/>
    </row>
    <row r="95" customFormat="false" ht="15" hidden="false" customHeight="false" outlineLevel="0" collapsed="false">
      <c r="A95" s="20"/>
      <c r="B95" s="15"/>
      <c r="C95" s="14"/>
      <c r="D95" s="15"/>
      <c r="E95" s="14"/>
      <c r="F95" s="14"/>
      <c r="G95" s="15"/>
      <c r="H95" s="14"/>
      <c r="I95" s="20"/>
      <c r="J95" s="18" t="str">
        <f aca="true">IF(A95="","",IF(I95="",TODAY()-A95,I95-A95))</f>
        <v/>
      </c>
      <c r="K95" s="15"/>
    </row>
    <row r="96" customFormat="false" ht="15" hidden="false" customHeight="false" outlineLevel="0" collapsed="false">
      <c r="A96" s="20"/>
      <c r="B96" s="15"/>
      <c r="C96" s="14"/>
      <c r="D96" s="15"/>
      <c r="E96" s="14"/>
      <c r="F96" s="14"/>
      <c r="G96" s="15"/>
      <c r="H96" s="14"/>
      <c r="I96" s="20"/>
      <c r="J96" s="18" t="str">
        <f aca="true">IF(A96="","",IF(I96="",TODAY()-A96,I96-A96))</f>
        <v/>
      </c>
      <c r="K96" s="15"/>
    </row>
    <row r="97" customFormat="false" ht="15" hidden="false" customHeight="false" outlineLevel="0" collapsed="false">
      <c r="A97" s="20"/>
      <c r="B97" s="15"/>
      <c r="C97" s="14"/>
      <c r="D97" s="15"/>
      <c r="E97" s="14"/>
      <c r="F97" s="14"/>
      <c r="G97" s="15"/>
      <c r="H97" s="14"/>
      <c r="I97" s="20"/>
      <c r="J97" s="18" t="str">
        <f aca="true">IF(A97="","",IF(I97="",TODAY()-A97,I97-A97))</f>
        <v/>
      </c>
      <c r="K97" s="15"/>
    </row>
    <row r="98" customFormat="false" ht="15" hidden="false" customHeight="false" outlineLevel="0" collapsed="false">
      <c r="A98" s="20"/>
      <c r="B98" s="15"/>
      <c r="C98" s="14"/>
      <c r="D98" s="15"/>
      <c r="E98" s="14"/>
      <c r="F98" s="14"/>
      <c r="G98" s="15"/>
      <c r="H98" s="14"/>
      <c r="I98" s="20"/>
      <c r="J98" s="18" t="str">
        <f aca="true">IF(A98="","",IF(I98="",TODAY()-A98,I98-A98))</f>
        <v/>
      </c>
      <c r="K98" s="15"/>
    </row>
    <row r="99" customFormat="false" ht="15" hidden="false" customHeight="false" outlineLevel="0" collapsed="false">
      <c r="A99" s="20"/>
      <c r="B99" s="15"/>
      <c r="C99" s="14"/>
      <c r="D99" s="15"/>
      <c r="E99" s="14"/>
      <c r="F99" s="14"/>
      <c r="G99" s="15"/>
      <c r="H99" s="14"/>
      <c r="I99" s="20"/>
      <c r="J99" s="18" t="str">
        <f aca="true">IF(A99="","",IF(I99="",TODAY()-A99,I99-A99))</f>
        <v/>
      </c>
      <c r="K99" s="15"/>
    </row>
    <row r="100" customFormat="false" ht="15" hidden="false" customHeight="false" outlineLevel="0" collapsed="false">
      <c r="A100" s="20"/>
      <c r="B100" s="15"/>
      <c r="C100" s="14"/>
      <c r="D100" s="15"/>
      <c r="E100" s="14"/>
      <c r="F100" s="14"/>
      <c r="G100" s="15"/>
      <c r="H100" s="14"/>
      <c r="I100" s="20"/>
      <c r="J100" s="18" t="str">
        <f aca="true">IF(A100="","",IF(I100="",TODAY()-A100,I100-A100))</f>
        <v/>
      </c>
      <c r="K100" s="15"/>
    </row>
    <row r="101" customFormat="false" ht="15" hidden="false" customHeight="false" outlineLevel="0" collapsed="false">
      <c r="A101" s="20"/>
      <c r="B101" s="15"/>
      <c r="C101" s="14"/>
      <c r="D101" s="15"/>
      <c r="E101" s="14"/>
      <c r="F101" s="14"/>
      <c r="G101" s="15"/>
      <c r="H101" s="14"/>
      <c r="I101" s="20"/>
      <c r="J101" s="18" t="str">
        <f aca="true">IF(A101="","",IF(I101="",TODAY()-A101,I101-A101))</f>
        <v/>
      </c>
      <c r="K101" s="15"/>
    </row>
    <row r="102" customFormat="false" ht="15" hidden="false" customHeight="false" outlineLevel="0" collapsed="false">
      <c r="A102" s="20"/>
      <c r="B102" s="15"/>
      <c r="C102" s="14"/>
      <c r="D102" s="15"/>
      <c r="E102" s="14"/>
      <c r="F102" s="14"/>
      <c r="G102" s="15"/>
      <c r="H102" s="14"/>
      <c r="I102" s="20"/>
      <c r="J102" s="18" t="str">
        <f aca="true">IF(A102="","",IF(I102="",TODAY()-A102,I102-A102))</f>
        <v/>
      </c>
      <c r="K102" s="15"/>
    </row>
    <row r="103" customFormat="false" ht="15" hidden="false" customHeight="false" outlineLevel="0" collapsed="false">
      <c r="A103" s="20"/>
      <c r="B103" s="15"/>
      <c r="C103" s="14"/>
      <c r="D103" s="15"/>
      <c r="E103" s="14"/>
      <c r="F103" s="14"/>
      <c r="G103" s="15"/>
      <c r="H103" s="14"/>
      <c r="I103" s="20"/>
      <c r="J103" s="18" t="str">
        <f aca="true">IF(A103="","",IF(I103="",TODAY()-A103,I103-A103))</f>
        <v/>
      </c>
      <c r="K103" s="15"/>
    </row>
    <row r="104" customFormat="false" ht="15" hidden="false" customHeight="false" outlineLevel="0" collapsed="false">
      <c r="A104" s="20"/>
      <c r="B104" s="15"/>
      <c r="C104" s="14"/>
      <c r="D104" s="15"/>
      <c r="E104" s="14"/>
      <c r="F104" s="14"/>
      <c r="G104" s="15"/>
      <c r="H104" s="14"/>
      <c r="I104" s="20"/>
      <c r="J104" s="18" t="str">
        <f aca="true">IF(A104="","",IF(I104="",TODAY()-A104,I104-A104))</f>
        <v/>
      </c>
      <c r="K104" s="15"/>
    </row>
    <row r="105" customFormat="false" ht="15" hidden="false" customHeight="false" outlineLevel="0" collapsed="false">
      <c r="A105" s="20"/>
      <c r="B105" s="15"/>
      <c r="C105" s="14"/>
      <c r="D105" s="15"/>
      <c r="E105" s="14"/>
      <c r="F105" s="14"/>
      <c r="G105" s="15"/>
      <c r="H105" s="14"/>
      <c r="I105" s="20"/>
      <c r="J105" s="18" t="str">
        <f aca="true">IF(A105="","",IF(I105="",TODAY()-A105,I105-A105))</f>
        <v/>
      </c>
      <c r="K105" s="15"/>
    </row>
    <row r="106" customFormat="false" ht="15" hidden="false" customHeight="false" outlineLevel="0" collapsed="false">
      <c r="A106" s="20"/>
      <c r="B106" s="15"/>
      <c r="C106" s="14"/>
      <c r="D106" s="15"/>
      <c r="E106" s="14"/>
      <c r="F106" s="14"/>
      <c r="G106" s="15"/>
      <c r="H106" s="14"/>
      <c r="I106" s="20"/>
      <c r="J106" s="18" t="str">
        <f aca="true">IF(A106="","",IF(I106="",TODAY()-A106,I106-A106))</f>
        <v/>
      </c>
      <c r="K106" s="15"/>
    </row>
    <row r="107" customFormat="false" ht="15" hidden="false" customHeight="false" outlineLevel="0" collapsed="false">
      <c r="A107" s="20"/>
      <c r="B107" s="15"/>
      <c r="C107" s="14"/>
      <c r="D107" s="15"/>
      <c r="E107" s="14"/>
      <c r="F107" s="14"/>
      <c r="G107" s="15"/>
      <c r="H107" s="14"/>
      <c r="I107" s="20"/>
      <c r="J107" s="18" t="str">
        <f aca="true">IF(A107="","",IF(I107="",TODAY()-A107,I107-A107))</f>
        <v/>
      </c>
      <c r="K107" s="15"/>
    </row>
    <row r="108" customFormat="false" ht="15" hidden="false" customHeight="false" outlineLevel="0" collapsed="false">
      <c r="A108" s="20"/>
      <c r="B108" s="15"/>
      <c r="C108" s="14"/>
      <c r="D108" s="15"/>
      <c r="E108" s="14"/>
      <c r="F108" s="14"/>
      <c r="G108" s="15"/>
      <c r="H108" s="14"/>
      <c r="I108" s="20"/>
      <c r="J108" s="18" t="str">
        <f aca="true">IF(A108="","",IF(I108="",TODAY()-A108,I108-A108))</f>
        <v/>
      </c>
      <c r="K108" s="15"/>
    </row>
    <row r="109" customFormat="false" ht="15" hidden="false" customHeight="false" outlineLevel="0" collapsed="false">
      <c r="A109" s="20"/>
      <c r="B109" s="15"/>
      <c r="C109" s="14"/>
      <c r="D109" s="15"/>
      <c r="E109" s="14"/>
      <c r="F109" s="14"/>
      <c r="G109" s="15"/>
      <c r="H109" s="14"/>
      <c r="I109" s="20"/>
      <c r="J109" s="18" t="str">
        <f aca="true">IF(A109="","",IF(I109="",TODAY()-A109,I109-A109))</f>
        <v/>
      </c>
      <c r="K109" s="15"/>
    </row>
    <row r="110" customFormat="false" ht="15" hidden="false" customHeight="false" outlineLevel="0" collapsed="false">
      <c r="A110" s="20"/>
      <c r="B110" s="15"/>
      <c r="C110" s="14"/>
      <c r="D110" s="15"/>
      <c r="E110" s="14"/>
      <c r="F110" s="14"/>
      <c r="G110" s="15"/>
      <c r="H110" s="14"/>
      <c r="I110" s="20"/>
      <c r="J110" s="18" t="str">
        <f aca="true">IF(A110="","",IF(I110="",TODAY()-A110,I110-A110))</f>
        <v/>
      </c>
      <c r="K110" s="15"/>
    </row>
    <row r="111" customFormat="false" ht="15" hidden="false" customHeight="false" outlineLevel="0" collapsed="false">
      <c r="A111" s="20"/>
      <c r="B111" s="15"/>
      <c r="C111" s="14"/>
      <c r="D111" s="15"/>
      <c r="E111" s="14"/>
      <c r="F111" s="14"/>
      <c r="G111" s="15"/>
      <c r="H111" s="14"/>
      <c r="I111" s="20"/>
      <c r="J111" s="18" t="str">
        <f aca="true">IF(A111="","",IF(I111="",TODAY()-A111,I111-A111))</f>
        <v/>
      </c>
      <c r="K111" s="15"/>
    </row>
    <row r="112" customFormat="false" ht="15" hidden="false" customHeight="false" outlineLevel="0" collapsed="false">
      <c r="A112" s="20"/>
      <c r="B112" s="15"/>
      <c r="C112" s="14"/>
      <c r="D112" s="15"/>
      <c r="E112" s="14"/>
      <c r="F112" s="14"/>
      <c r="G112" s="15"/>
      <c r="H112" s="14"/>
      <c r="I112" s="20"/>
      <c r="J112" s="18" t="str">
        <f aca="true">IF(A112="","",IF(I112="",TODAY()-A112,I112-A112))</f>
        <v/>
      </c>
      <c r="K112" s="15"/>
    </row>
    <row r="113" customFormat="false" ht="15" hidden="false" customHeight="false" outlineLevel="0" collapsed="false">
      <c r="A113" s="20"/>
      <c r="B113" s="15"/>
      <c r="C113" s="14"/>
      <c r="D113" s="15"/>
      <c r="E113" s="14"/>
      <c r="F113" s="14"/>
      <c r="G113" s="15"/>
      <c r="H113" s="14"/>
      <c r="I113" s="20"/>
      <c r="J113" s="18" t="str">
        <f aca="true">IF(A113="","",IF(I113="",TODAY()-A113,I113-A113))</f>
        <v/>
      </c>
      <c r="K113" s="15"/>
    </row>
    <row r="114" customFormat="false" ht="15" hidden="false" customHeight="false" outlineLevel="0" collapsed="false">
      <c r="A114" s="20"/>
      <c r="B114" s="15"/>
      <c r="C114" s="14"/>
      <c r="D114" s="15"/>
      <c r="E114" s="14"/>
      <c r="F114" s="14"/>
      <c r="G114" s="15"/>
      <c r="H114" s="14"/>
      <c r="I114" s="20"/>
      <c r="J114" s="18" t="str">
        <f aca="true">IF(A114="","",IF(I114="",TODAY()-A114,I114-A114))</f>
        <v/>
      </c>
      <c r="K114" s="15"/>
    </row>
    <row r="115" customFormat="false" ht="15" hidden="false" customHeight="false" outlineLevel="0" collapsed="false">
      <c r="A115" s="20"/>
      <c r="B115" s="15"/>
      <c r="C115" s="14"/>
      <c r="D115" s="15"/>
      <c r="E115" s="14"/>
      <c r="F115" s="14"/>
      <c r="G115" s="15"/>
      <c r="H115" s="14"/>
      <c r="I115" s="20"/>
      <c r="J115" s="18" t="str">
        <f aca="true">IF(A115="","",IF(I115="",TODAY()-A115,I115-A115))</f>
        <v/>
      </c>
      <c r="K115" s="15"/>
    </row>
    <row r="116" customFormat="false" ht="15" hidden="false" customHeight="false" outlineLevel="0" collapsed="false">
      <c r="A116" s="20"/>
      <c r="B116" s="15"/>
      <c r="C116" s="14"/>
      <c r="D116" s="15"/>
      <c r="E116" s="14"/>
      <c r="F116" s="14"/>
      <c r="G116" s="15"/>
      <c r="H116" s="14"/>
      <c r="I116" s="20"/>
      <c r="J116" s="18" t="str">
        <f aca="true">IF(A116="","",IF(I116="",TODAY()-A116,I116-A116))</f>
        <v/>
      </c>
      <c r="K116" s="15"/>
    </row>
    <row r="117" customFormat="false" ht="15" hidden="false" customHeight="false" outlineLevel="0" collapsed="false">
      <c r="A117" s="20"/>
      <c r="B117" s="15"/>
      <c r="C117" s="14"/>
      <c r="D117" s="15"/>
      <c r="E117" s="14"/>
      <c r="F117" s="14"/>
      <c r="G117" s="15"/>
      <c r="H117" s="14"/>
      <c r="I117" s="20"/>
      <c r="J117" s="18" t="str">
        <f aca="true">IF(A117="","",IF(I117="",TODAY()-A117,I117-A117))</f>
        <v/>
      </c>
      <c r="K117" s="15"/>
    </row>
    <row r="118" customFormat="false" ht="15" hidden="false" customHeight="false" outlineLevel="0" collapsed="false">
      <c r="A118" s="20"/>
      <c r="B118" s="15"/>
      <c r="C118" s="14"/>
      <c r="D118" s="15"/>
      <c r="E118" s="14"/>
      <c r="F118" s="14"/>
      <c r="G118" s="15"/>
      <c r="H118" s="14"/>
      <c r="I118" s="20"/>
      <c r="J118" s="18" t="str">
        <f aca="true">IF(A118="","",IF(I118="",TODAY()-A118,I118-A118))</f>
        <v/>
      </c>
      <c r="K118" s="15"/>
    </row>
    <row r="119" customFormat="false" ht="15" hidden="false" customHeight="false" outlineLevel="0" collapsed="false">
      <c r="A119" s="20"/>
      <c r="B119" s="15"/>
      <c r="C119" s="14"/>
      <c r="D119" s="15"/>
      <c r="E119" s="14"/>
      <c r="F119" s="14"/>
      <c r="G119" s="15"/>
      <c r="H119" s="14"/>
      <c r="I119" s="20"/>
      <c r="J119" s="18" t="str">
        <f aca="true">IF(A119="","",IF(I119="",TODAY()-A119,I119-A119))</f>
        <v/>
      </c>
      <c r="K119" s="15"/>
    </row>
    <row r="120" customFormat="false" ht="15" hidden="false" customHeight="false" outlineLevel="0" collapsed="false">
      <c r="A120" s="20"/>
      <c r="B120" s="15"/>
      <c r="C120" s="14"/>
      <c r="D120" s="15"/>
      <c r="E120" s="14"/>
      <c r="F120" s="14"/>
      <c r="G120" s="15"/>
      <c r="H120" s="14"/>
      <c r="I120" s="20"/>
      <c r="J120" s="18" t="str">
        <f aca="true">IF(A120="","",IF(I120="",TODAY()-A120,I120-A120))</f>
        <v/>
      </c>
      <c r="K120" s="15"/>
    </row>
    <row r="121" customFormat="false" ht="15" hidden="false" customHeight="false" outlineLevel="0" collapsed="false">
      <c r="A121" s="20"/>
      <c r="B121" s="15"/>
      <c r="C121" s="14"/>
      <c r="D121" s="15"/>
      <c r="E121" s="14"/>
      <c r="F121" s="14"/>
      <c r="G121" s="15"/>
      <c r="H121" s="14"/>
      <c r="I121" s="20"/>
      <c r="J121" s="18" t="str">
        <f aca="true">IF(A121="","",IF(I121="",TODAY()-A121,I121-A121))</f>
        <v/>
      </c>
      <c r="K121" s="15"/>
    </row>
    <row r="122" customFormat="false" ht="15" hidden="false" customHeight="false" outlineLevel="0" collapsed="false">
      <c r="A122" s="20"/>
      <c r="B122" s="15"/>
      <c r="C122" s="14"/>
      <c r="D122" s="15"/>
      <c r="E122" s="14"/>
      <c r="F122" s="14"/>
      <c r="G122" s="15"/>
      <c r="H122" s="14"/>
      <c r="I122" s="20"/>
      <c r="J122" s="18" t="str">
        <f aca="true">IF(A122="","",IF(I122="",TODAY()-A122,I122-A122))</f>
        <v/>
      </c>
      <c r="K122" s="15"/>
    </row>
    <row r="123" customFormat="false" ht="15" hidden="false" customHeight="false" outlineLevel="0" collapsed="false">
      <c r="A123" s="20"/>
      <c r="B123" s="15"/>
      <c r="C123" s="14"/>
      <c r="D123" s="15"/>
      <c r="E123" s="14"/>
      <c r="F123" s="14"/>
      <c r="G123" s="15"/>
      <c r="H123" s="14"/>
      <c r="I123" s="20"/>
      <c r="J123" s="18" t="str">
        <f aca="true">IF(A123="","",IF(I123="",TODAY()-A123,I123-A123))</f>
        <v/>
      </c>
      <c r="K123" s="15"/>
    </row>
    <row r="124" customFormat="false" ht="15" hidden="false" customHeight="false" outlineLevel="0" collapsed="false">
      <c r="A124" s="20"/>
      <c r="B124" s="15"/>
      <c r="C124" s="14"/>
      <c r="D124" s="15"/>
      <c r="E124" s="14"/>
      <c r="F124" s="14"/>
      <c r="G124" s="15"/>
      <c r="H124" s="14"/>
      <c r="I124" s="20"/>
      <c r="J124" s="18" t="str">
        <f aca="true">IF(A124="","",IF(I124="",TODAY()-A124,I124-A124))</f>
        <v/>
      </c>
      <c r="K124" s="15"/>
    </row>
    <row r="125" customFormat="false" ht="15" hidden="false" customHeight="false" outlineLevel="0" collapsed="false">
      <c r="A125" s="20"/>
      <c r="B125" s="15"/>
      <c r="C125" s="14"/>
      <c r="D125" s="15"/>
      <c r="E125" s="14"/>
      <c r="F125" s="14"/>
      <c r="G125" s="15"/>
      <c r="H125" s="14"/>
      <c r="I125" s="20"/>
      <c r="J125" s="18" t="str">
        <f aca="true">IF(A125="","",IF(I125="",TODAY()-A125,I125-A125))</f>
        <v/>
      </c>
      <c r="K125" s="15"/>
    </row>
    <row r="126" customFormat="false" ht="15" hidden="false" customHeight="false" outlineLevel="0" collapsed="false">
      <c r="A126" s="20"/>
      <c r="B126" s="15"/>
      <c r="C126" s="14"/>
      <c r="D126" s="15"/>
      <c r="E126" s="14"/>
      <c r="F126" s="14"/>
      <c r="G126" s="15"/>
      <c r="H126" s="14"/>
      <c r="I126" s="20"/>
      <c r="J126" s="18" t="str">
        <f aca="true">IF(A126="","",IF(I126="",TODAY()-A126,I126-A126))</f>
        <v/>
      </c>
      <c r="K126" s="15"/>
    </row>
    <row r="127" customFormat="false" ht="15" hidden="false" customHeight="false" outlineLevel="0" collapsed="false">
      <c r="A127" s="20"/>
      <c r="B127" s="15"/>
      <c r="C127" s="14"/>
      <c r="D127" s="15"/>
      <c r="E127" s="14"/>
      <c r="F127" s="14"/>
      <c r="G127" s="15"/>
      <c r="H127" s="14"/>
      <c r="I127" s="20"/>
      <c r="J127" s="18" t="str">
        <f aca="true">IF(A127="","",IF(I127="",TODAY()-A127,I127-A127))</f>
        <v/>
      </c>
      <c r="K127" s="15"/>
    </row>
    <row r="128" customFormat="false" ht="15" hidden="false" customHeight="false" outlineLevel="0" collapsed="false">
      <c r="A128" s="20"/>
      <c r="B128" s="15"/>
      <c r="C128" s="14"/>
      <c r="D128" s="15"/>
      <c r="E128" s="14"/>
      <c r="F128" s="14"/>
      <c r="G128" s="15"/>
      <c r="H128" s="14"/>
      <c r="I128" s="20"/>
      <c r="J128" s="18" t="str">
        <f aca="true">IF(A128="","",IF(I128="",TODAY()-A128,I128-A128))</f>
        <v/>
      </c>
      <c r="K128" s="15"/>
    </row>
    <row r="129" customFormat="false" ht="15" hidden="false" customHeight="false" outlineLevel="0" collapsed="false">
      <c r="A129" s="20"/>
      <c r="B129" s="15"/>
      <c r="C129" s="14"/>
      <c r="D129" s="15"/>
      <c r="E129" s="14"/>
      <c r="F129" s="14"/>
      <c r="G129" s="15"/>
      <c r="H129" s="14"/>
      <c r="I129" s="20"/>
      <c r="J129" s="18" t="str">
        <f aca="true">IF(A129="","",IF(I129="",TODAY()-A129,I129-A129))</f>
        <v/>
      </c>
      <c r="K129" s="15"/>
    </row>
    <row r="130" customFormat="false" ht="15" hidden="false" customHeight="false" outlineLevel="0" collapsed="false">
      <c r="A130" s="20"/>
      <c r="B130" s="15"/>
      <c r="C130" s="14"/>
      <c r="D130" s="15"/>
      <c r="E130" s="14"/>
      <c r="F130" s="14"/>
      <c r="G130" s="15"/>
      <c r="H130" s="14"/>
      <c r="I130" s="20"/>
      <c r="J130" s="18" t="str">
        <f aca="true">IF(A130="","",IF(I130="",TODAY()-A130,I130-A130))</f>
        <v/>
      </c>
      <c r="K130" s="15"/>
    </row>
    <row r="131" customFormat="false" ht="15" hidden="false" customHeight="false" outlineLevel="0" collapsed="false">
      <c r="A131" s="20"/>
      <c r="B131" s="15"/>
      <c r="C131" s="14"/>
      <c r="D131" s="15"/>
      <c r="E131" s="14"/>
      <c r="F131" s="14"/>
      <c r="G131" s="15"/>
      <c r="H131" s="14"/>
      <c r="I131" s="20"/>
      <c r="J131" s="18" t="str">
        <f aca="true">IF(A131="","",IF(I131="",TODAY()-A131,I131-A131))</f>
        <v/>
      </c>
      <c r="K131" s="15"/>
    </row>
    <row r="132" customFormat="false" ht="15" hidden="false" customHeight="false" outlineLevel="0" collapsed="false">
      <c r="A132" s="20"/>
      <c r="B132" s="15"/>
      <c r="C132" s="14"/>
      <c r="D132" s="15"/>
      <c r="E132" s="14"/>
      <c r="F132" s="14"/>
      <c r="G132" s="15"/>
      <c r="H132" s="14"/>
      <c r="I132" s="20"/>
      <c r="J132" s="18" t="str">
        <f aca="true">IF(A132="","",IF(I132="",TODAY()-A132,I132-A132))</f>
        <v/>
      </c>
      <c r="K132" s="15"/>
    </row>
    <row r="133" customFormat="false" ht="15" hidden="false" customHeight="false" outlineLevel="0" collapsed="false">
      <c r="A133" s="20"/>
      <c r="B133" s="15"/>
      <c r="C133" s="14"/>
      <c r="D133" s="15"/>
      <c r="E133" s="14"/>
      <c r="F133" s="14"/>
      <c r="G133" s="15"/>
      <c r="H133" s="14"/>
      <c r="I133" s="20"/>
      <c r="J133" s="18" t="str">
        <f aca="true">IF(A133="","",IF(I133="",TODAY()-A133,I133-A133))</f>
        <v/>
      </c>
      <c r="K133" s="15"/>
    </row>
    <row r="134" customFormat="false" ht="15" hidden="false" customHeight="false" outlineLevel="0" collapsed="false">
      <c r="A134" s="20"/>
      <c r="B134" s="15"/>
      <c r="C134" s="14"/>
      <c r="D134" s="15"/>
      <c r="E134" s="14"/>
      <c r="F134" s="14"/>
      <c r="G134" s="15"/>
      <c r="H134" s="14"/>
      <c r="I134" s="20"/>
      <c r="J134" s="18" t="str">
        <f aca="true">IF(A134="","",IF(I134="",TODAY()-A134,I134-A134))</f>
        <v/>
      </c>
      <c r="K134" s="15"/>
    </row>
    <row r="135" customFormat="false" ht="15" hidden="false" customHeight="false" outlineLevel="0" collapsed="false">
      <c r="A135" s="20"/>
      <c r="B135" s="15"/>
      <c r="C135" s="14"/>
      <c r="D135" s="15"/>
      <c r="E135" s="14"/>
      <c r="F135" s="14"/>
      <c r="G135" s="15"/>
      <c r="H135" s="14"/>
      <c r="I135" s="20"/>
      <c r="J135" s="18" t="str">
        <f aca="true">IF(A135="","",IF(I135="",TODAY()-A135,I135-A135))</f>
        <v/>
      </c>
      <c r="K135" s="15"/>
    </row>
    <row r="136" customFormat="false" ht="15" hidden="false" customHeight="false" outlineLevel="0" collapsed="false">
      <c r="A136" s="20"/>
      <c r="B136" s="15"/>
      <c r="C136" s="14"/>
      <c r="D136" s="15"/>
      <c r="E136" s="14"/>
      <c r="F136" s="14"/>
      <c r="G136" s="15"/>
      <c r="H136" s="14"/>
      <c r="I136" s="20"/>
      <c r="J136" s="18" t="str">
        <f aca="true">IF(A136="","",IF(I136="",TODAY()-A136,I136-A136))</f>
        <v/>
      </c>
      <c r="K136" s="15"/>
    </row>
    <row r="137" customFormat="false" ht="15" hidden="false" customHeight="false" outlineLevel="0" collapsed="false">
      <c r="A137" s="20"/>
      <c r="B137" s="15"/>
      <c r="C137" s="14"/>
      <c r="D137" s="15"/>
      <c r="E137" s="14"/>
      <c r="F137" s="14"/>
      <c r="G137" s="15"/>
      <c r="H137" s="14"/>
      <c r="I137" s="20"/>
      <c r="J137" s="18" t="str">
        <f aca="true">IF(A137="","",IF(I137="",TODAY()-A137,I137-A137))</f>
        <v/>
      </c>
      <c r="K137" s="15"/>
    </row>
    <row r="138" customFormat="false" ht="15" hidden="false" customHeight="false" outlineLevel="0" collapsed="false">
      <c r="A138" s="20"/>
      <c r="B138" s="15"/>
      <c r="C138" s="14"/>
      <c r="D138" s="15"/>
      <c r="E138" s="14"/>
      <c r="F138" s="14"/>
      <c r="G138" s="15"/>
      <c r="H138" s="14"/>
      <c r="I138" s="20"/>
      <c r="J138" s="18" t="str">
        <f aca="true">IF(A138="","",IF(I138="",TODAY()-A138,I138-A138))</f>
        <v/>
      </c>
      <c r="K138" s="15"/>
    </row>
    <row r="139" customFormat="false" ht="15" hidden="false" customHeight="false" outlineLevel="0" collapsed="false">
      <c r="A139" s="20"/>
      <c r="B139" s="15"/>
      <c r="C139" s="14"/>
      <c r="D139" s="15"/>
      <c r="E139" s="14"/>
      <c r="F139" s="14"/>
      <c r="G139" s="15"/>
      <c r="H139" s="14"/>
      <c r="I139" s="20"/>
      <c r="J139" s="18" t="str">
        <f aca="true">IF(A139="","",IF(I139="",TODAY()-A139,I139-A139))</f>
        <v/>
      </c>
      <c r="K139" s="15"/>
    </row>
    <row r="140" customFormat="false" ht="15" hidden="false" customHeight="false" outlineLevel="0" collapsed="false">
      <c r="A140" s="20"/>
      <c r="B140" s="15"/>
      <c r="C140" s="14"/>
      <c r="D140" s="15"/>
      <c r="E140" s="14"/>
      <c r="F140" s="14"/>
      <c r="G140" s="15"/>
      <c r="H140" s="14"/>
      <c r="I140" s="20"/>
      <c r="J140" s="18" t="str">
        <f aca="true">IF(A140="","",IF(I140="",TODAY()-A140,I140-A140))</f>
        <v/>
      </c>
      <c r="K140" s="15"/>
    </row>
    <row r="141" customFormat="false" ht="15" hidden="false" customHeight="false" outlineLevel="0" collapsed="false">
      <c r="A141" s="20"/>
      <c r="B141" s="15"/>
      <c r="C141" s="14"/>
      <c r="D141" s="15"/>
      <c r="E141" s="14"/>
      <c r="F141" s="14"/>
      <c r="G141" s="15"/>
      <c r="H141" s="14"/>
      <c r="I141" s="20"/>
      <c r="J141" s="18" t="str">
        <f aca="true">IF(A141="","",IF(I141="",TODAY()-A141,I141-A141))</f>
        <v/>
      </c>
      <c r="K141" s="15"/>
    </row>
    <row r="142" customFormat="false" ht="15" hidden="false" customHeight="false" outlineLevel="0" collapsed="false">
      <c r="A142" s="20"/>
      <c r="B142" s="15"/>
      <c r="C142" s="14"/>
      <c r="D142" s="15"/>
      <c r="E142" s="14"/>
      <c r="F142" s="14"/>
      <c r="G142" s="15"/>
      <c r="H142" s="14"/>
      <c r="I142" s="20"/>
      <c r="J142" s="18" t="str">
        <f aca="true">IF(A142="","",IF(I142="",TODAY()-A142,I142-A142))</f>
        <v/>
      </c>
      <c r="K142" s="15"/>
    </row>
    <row r="143" customFormat="false" ht="15" hidden="false" customHeight="false" outlineLevel="0" collapsed="false">
      <c r="A143" s="20"/>
      <c r="B143" s="15"/>
      <c r="C143" s="14"/>
      <c r="D143" s="15"/>
      <c r="E143" s="14"/>
      <c r="F143" s="14"/>
      <c r="G143" s="15"/>
      <c r="H143" s="14"/>
      <c r="I143" s="20"/>
      <c r="J143" s="18" t="str">
        <f aca="true">IF(A143="","",IF(I143="",TODAY()-A143,I143-A143))</f>
        <v/>
      </c>
      <c r="K143" s="15"/>
    </row>
    <row r="144" customFormat="false" ht="15" hidden="false" customHeight="false" outlineLevel="0" collapsed="false">
      <c r="A144" s="20"/>
      <c r="B144" s="15"/>
      <c r="C144" s="14"/>
      <c r="D144" s="15"/>
      <c r="E144" s="14"/>
      <c r="F144" s="14"/>
      <c r="G144" s="15"/>
      <c r="H144" s="14"/>
      <c r="I144" s="20"/>
      <c r="J144" s="18" t="str">
        <f aca="true">IF(A144="","",IF(I144="",TODAY()-A144,I144-A144))</f>
        <v/>
      </c>
      <c r="K144" s="15"/>
    </row>
    <row r="145" customFormat="false" ht="15" hidden="false" customHeight="false" outlineLevel="0" collapsed="false">
      <c r="A145" s="20"/>
      <c r="B145" s="15"/>
      <c r="C145" s="14"/>
      <c r="D145" s="15"/>
      <c r="E145" s="14"/>
      <c r="F145" s="14"/>
      <c r="G145" s="15"/>
      <c r="H145" s="14"/>
      <c r="I145" s="20"/>
      <c r="J145" s="18" t="str">
        <f aca="true">IF(A145="","",IF(I145="",TODAY()-A145,I145-A145))</f>
        <v/>
      </c>
      <c r="K145" s="15"/>
    </row>
    <row r="146" customFormat="false" ht="15" hidden="false" customHeight="false" outlineLevel="0" collapsed="false">
      <c r="A146" s="20"/>
      <c r="B146" s="15"/>
      <c r="C146" s="14"/>
      <c r="D146" s="15"/>
      <c r="E146" s="14"/>
      <c r="F146" s="14"/>
      <c r="G146" s="15"/>
      <c r="H146" s="14"/>
      <c r="I146" s="20"/>
      <c r="J146" s="18" t="str">
        <f aca="true">IF(A146="","",IF(I146="",TODAY()-A146,I146-A146))</f>
        <v/>
      </c>
      <c r="K146" s="15"/>
    </row>
    <row r="147" customFormat="false" ht="15" hidden="false" customHeight="false" outlineLevel="0" collapsed="false">
      <c r="A147" s="20"/>
      <c r="B147" s="15"/>
      <c r="C147" s="14"/>
      <c r="D147" s="15"/>
      <c r="E147" s="14"/>
      <c r="F147" s="14"/>
      <c r="G147" s="15"/>
      <c r="H147" s="14"/>
      <c r="I147" s="20"/>
      <c r="J147" s="18" t="str">
        <f aca="true">IF(A147="","",IF(I147="",TODAY()-A147,I147-A147))</f>
        <v/>
      </c>
      <c r="K147" s="15"/>
    </row>
    <row r="148" customFormat="false" ht="15" hidden="false" customHeight="false" outlineLevel="0" collapsed="false">
      <c r="A148" s="20"/>
      <c r="B148" s="15"/>
      <c r="C148" s="14"/>
      <c r="D148" s="15"/>
      <c r="E148" s="14"/>
      <c r="F148" s="14"/>
      <c r="G148" s="15"/>
      <c r="H148" s="14"/>
      <c r="I148" s="20"/>
      <c r="J148" s="18" t="str">
        <f aca="true">IF(A148="","",IF(I148="",TODAY()-A148,I148-A148))</f>
        <v/>
      </c>
      <c r="K148" s="15"/>
    </row>
    <row r="149" customFormat="false" ht="15" hidden="false" customHeight="false" outlineLevel="0" collapsed="false">
      <c r="A149" s="20"/>
      <c r="B149" s="15"/>
      <c r="C149" s="14"/>
      <c r="D149" s="15"/>
      <c r="E149" s="14"/>
      <c r="F149" s="14"/>
      <c r="G149" s="15"/>
      <c r="H149" s="14"/>
      <c r="I149" s="20"/>
      <c r="J149" s="18" t="str">
        <f aca="true">IF(A149="","",IF(I149="",TODAY()-A149,I149-A149))</f>
        <v/>
      </c>
      <c r="K149" s="15"/>
    </row>
    <row r="150" customFormat="false" ht="15" hidden="false" customHeight="false" outlineLevel="0" collapsed="false">
      <c r="A150" s="20"/>
      <c r="B150" s="15"/>
      <c r="C150" s="14"/>
      <c r="D150" s="15"/>
      <c r="E150" s="14"/>
      <c r="F150" s="14"/>
      <c r="G150" s="15"/>
      <c r="H150" s="14"/>
      <c r="I150" s="20"/>
      <c r="J150" s="18" t="str">
        <f aca="true">IF(A150="","",IF(I150="",TODAY()-A150,I150-A150))</f>
        <v/>
      </c>
      <c r="K150" s="15"/>
    </row>
    <row r="151" customFormat="false" ht="15" hidden="false" customHeight="false" outlineLevel="0" collapsed="false">
      <c r="A151" s="20"/>
      <c r="B151" s="15"/>
      <c r="C151" s="14"/>
      <c r="D151" s="15"/>
      <c r="E151" s="14"/>
      <c r="F151" s="14"/>
      <c r="G151" s="15"/>
      <c r="H151" s="14"/>
      <c r="I151" s="20"/>
      <c r="J151" s="18" t="str">
        <f aca="true">IF(A151="","",IF(I151="",TODAY()-A151,I151-A151))</f>
        <v/>
      </c>
      <c r="K151" s="15"/>
    </row>
    <row r="152" customFormat="false" ht="15" hidden="false" customHeight="false" outlineLevel="0" collapsed="false">
      <c r="A152" s="20"/>
      <c r="B152" s="15"/>
      <c r="C152" s="14"/>
      <c r="D152" s="15"/>
      <c r="E152" s="14"/>
      <c r="F152" s="14"/>
      <c r="G152" s="15"/>
      <c r="H152" s="14"/>
      <c r="I152" s="20"/>
      <c r="J152" s="18" t="str">
        <f aca="true">IF(A152="","",IF(I152="",TODAY()-A152,I152-A152))</f>
        <v/>
      </c>
      <c r="K152" s="15"/>
    </row>
    <row r="153" customFormat="false" ht="15" hidden="false" customHeight="false" outlineLevel="0" collapsed="false">
      <c r="A153" s="20"/>
      <c r="B153" s="15"/>
      <c r="C153" s="14"/>
      <c r="D153" s="15"/>
      <c r="E153" s="14"/>
      <c r="F153" s="14"/>
      <c r="G153" s="15"/>
      <c r="H153" s="14"/>
      <c r="I153" s="20"/>
      <c r="J153" s="18" t="str">
        <f aca="true">IF(A153="","",IF(I153="",TODAY()-A153,I153-A153))</f>
        <v/>
      </c>
      <c r="K153" s="15"/>
    </row>
    <row r="154" customFormat="false" ht="15" hidden="false" customHeight="false" outlineLevel="0" collapsed="false">
      <c r="A154" s="20"/>
      <c r="B154" s="15"/>
      <c r="C154" s="14"/>
      <c r="D154" s="15"/>
      <c r="E154" s="14"/>
      <c r="F154" s="14"/>
      <c r="G154" s="15"/>
      <c r="H154" s="14"/>
      <c r="I154" s="20"/>
      <c r="J154" s="18" t="str">
        <f aca="true">IF(A154="","",IF(I154="",TODAY()-A154,I154-A154))</f>
        <v/>
      </c>
      <c r="K154" s="15"/>
    </row>
    <row r="155" customFormat="false" ht="15" hidden="false" customHeight="false" outlineLevel="0" collapsed="false">
      <c r="A155" s="20"/>
      <c r="B155" s="15"/>
      <c r="C155" s="14"/>
      <c r="D155" s="15"/>
      <c r="E155" s="14"/>
      <c r="F155" s="14"/>
      <c r="G155" s="15"/>
      <c r="H155" s="14"/>
      <c r="I155" s="20"/>
      <c r="J155" s="18" t="str">
        <f aca="true">IF(A155="","",IF(I155="",TODAY()-A155,I155-A155))</f>
        <v/>
      </c>
      <c r="K155" s="15"/>
    </row>
    <row r="156" customFormat="false" ht="15" hidden="false" customHeight="false" outlineLevel="0" collapsed="false">
      <c r="A156" s="20"/>
      <c r="B156" s="15"/>
      <c r="C156" s="14"/>
      <c r="D156" s="15"/>
      <c r="E156" s="14"/>
      <c r="F156" s="14"/>
      <c r="G156" s="15"/>
      <c r="H156" s="14"/>
      <c r="I156" s="20"/>
      <c r="J156" s="18" t="str">
        <f aca="true">IF(A156="","",IF(I156="",TODAY()-A156,I156-A156))</f>
        <v/>
      </c>
      <c r="K156" s="15"/>
    </row>
    <row r="157" customFormat="false" ht="15" hidden="false" customHeight="false" outlineLevel="0" collapsed="false">
      <c r="A157" s="20"/>
      <c r="B157" s="15"/>
      <c r="C157" s="14"/>
      <c r="D157" s="15"/>
      <c r="E157" s="14"/>
      <c r="F157" s="14"/>
      <c r="G157" s="15"/>
      <c r="H157" s="14"/>
      <c r="I157" s="20"/>
      <c r="J157" s="18" t="str">
        <f aca="true">IF(A157="","",IF(I157="",TODAY()-A157,I157-A157))</f>
        <v/>
      </c>
      <c r="K157" s="15"/>
    </row>
    <row r="158" customFormat="false" ht="15" hidden="false" customHeight="false" outlineLevel="0" collapsed="false">
      <c r="A158" s="20"/>
      <c r="B158" s="15"/>
      <c r="C158" s="14"/>
      <c r="D158" s="15"/>
      <c r="E158" s="14"/>
      <c r="F158" s="14"/>
      <c r="G158" s="15"/>
      <c r="H158" s="14"/>
      <c r="I158" s="20"/>
      <c r="J158" s="18" t="str">
        <f aca="true">IF(A158="","",IF(I158="",TODAY()-A158,I158-A158))</f>
        <v/>
      </c>
      <c r="K158" s="15"/>
    </row>
    <row r="159" customFormat="false" ht="15" hidden="false" customHeight="false" outlineLevel="0" collapsed="false">
      <c r="A159" s="20"/>
      <c r="B159" s="15"/>
      <c r="C159" s="14"/>
      <c r="D159" s="15"/>
      <c r="E159" s="14"/>
      <c r="F159" s="14"/>
      <c r="G159" s="15"/>
      <c r="H159" s="14"/>
      <c r="I159" s="20"/>
      <c r="J159" s="18" t="str">
        <f aca="true">IF(A159="","",IF(I159="",TODAY()-A159,I159-A159))</f>
        <v/>
      </c>
      <c r="K159" s="15"/>
    </row>
    <row r="160" customFormat="false" ht="15" hidden="false" customHeight="false" outlineLevel="0" collapsed="false">
      <c r="A160" s="20"/>
      <c r="B160" s="15"/>
      <c r="C160" s="14"/>
      <c r="D160" s="15"/>
      <c r="E160" s="14"/>
      <c r="F160" s="14"/>
      <c r="G160" s="15"/>
      <c r="H160" s="14"/>
      <c r="I160" s="20"/>
      <c r="J160" s="18" t="str">
        <f aca="true">IF(A160="","",IF(I160="",TODAY()-A160,I160-A160))</f>
        <v/>
      </c>
      <c r="K160" s="15"/>
    </row>
    <row r="161" customFormat="false" ht="15" hidden="false" customHeight="false" outlineLevel="0" collapsed="false">
      <c r="A161" s="20"/>
      <c r="B161" s="15"/>
      <c r="C161" s="14"/>
      <c r="D161" s="15"/>
      <c r="E161" s="14"/>
      <c r="F161" s="14"/>
      <c r="G161" s="15"/>
      <c r="H161" s="14"/>
      <c r="I161" s="20"/>
      <c r="J161" s="18" t="str">
        <f aca="true">IF(A161="","",IF(I161="",TODAY()-A161,I161-A161))</f>
        <v/>
      </c>
      <c r="K161" s="15"/>
    </row>
    <row r="162" customFormat="false" ht="15" hidden="false" customHeight="false" outlineLevel="0" collapsed="false">
      <c r="A162" s="20"/>
      <c r="B162" s="15"/>
      <c r="C162" s="14"/>
      <c r="D162" s="15"/>
      <c r="E162" s="14"/>
      <c r="F162" s="14"/>
      <c r="G162" s="15"/>
      <c r="H162" s="14"/>
      <c r="I162" s="20"/>
      <c r="J162" s="18" t="str">
        <f aca="true">IF(A162="","",IF(I162="",TODAY()-A162,I162-A162))</f>
        <v/>
      </c>
      <c r="K162" s="15"/>
    </row>
    <row r="163" customFormat="false" ht="15" hidden="false" customHeight="false" outlineLevel="0" collapsed="false">
      <c r="A163" s="20"/>
      <c r="B163" s="15"/>
      <c r="C163" s="14"/>
      <c r="D163" s="15"/>
      <c r="E163" s="14"/>
      <c r="F163" s="14"/>
      <c r="G163" s="15"/>
      <c r="H163" s="14"/>
      <c r="I163" s="20"/>
      <c r="J163" s="18" t="str">
        <f aca="true">IF(A163="","",IF(I163="",TODAY()-A163,I163-A163))</f>
        <v/>
      </c>
      <c r="K163" s="15"/>
    </row>
    <row r="164" customFormat="false" ht="15" hidden="false" customHeight="false" outlineLevel="0" collapsed="false">
      <c r="A164" s="20"/>
      <c r="B164" s="15"/>
      <c r="C164" s="14"/>
      <c r="D164" s="15"/>
      <c r="E164" s="14"/>
      <c r="F164" s="14"/>
      <c r="G164" s="15"/>
      <c r="H164" s="14"/>
      <c r="I164" s="20"/>
      <c r="J164" s="18" t="str">
        <f aca="true">IF(A164="","",IF(I164="",TODAY()-A164,I164-A164))</f>
        <v/>
      </c>
      <c r="K164" s="15"/>
    </row>
    <row r="165" customFormat="false" ht="15" hidden="false" customHeight="false" outlineLevel="0" collapsed="false">
      <c r="A165" s="20"/>
      <c r="B165" s="15"/>
      <c r="C165" s="14"/>
      <c r="D165" s="15"/>
      <c r="E165" s="14"/>
      <c r="F165" s="14"/>
      <c r="G165" s="15"/>
      <c r="H165" s="14"/>
      <c r="I165" s="20"/>
      <c r="J165" s="18" t="str">
        <f aca="true">IF(A165="","",IF(I165="",TODAY()-A165,I165-A165))</f>
        <v/>
      </c>
      <c r="K165" s="15"/>
    </row>
    <row r="166" customFormat="false" ht="15" hidden="false" customHeight="false" outlineLevel="0" collapsed="false">
      <c r="A166" s="20"/>
      <c r="B166" s="15"/>
      <c r="C166" s="14"/>
      <c r="D166" s="15"/>
      <c r="E166" s="14"/>
      <c r="F166" s="14"/>
      <c r="G166" s="15"/>
      <c r="H166" s="14"/>
      <c r="I166" s="20"/>
      <c r="J166" s="18" t="str">
        <f aca="true">IF(A166="","",IF(I166="",TODAY()-A166,I166-A166))</f>
        <v/>
      </c>
      <c r="K166" s="15"/>
    </row>
    <row r="167" customFormat="false" ht="15" hidden="false" customHeight="false" outlineLevel="0" collapsed="false">
      <c r="A167" s="20"/>
      <c r="B167" s="15"/>
      <c r="C167" s="14"/>
      <c r="D167" s="15"/>
      <c r="E167" s="14"/>
      <c r="F167" s="14"/>
      <c r="G167" s="15"/>
      <c r="H167" s="14"/>
      <c r="I167" s="20"/>
      <c r="J167" s="18" t="str">
        <f aca="true">IF(A167="","",IF(I167="",TODAY()-A167,I167-A167))</f>
        <v/>
      </c>
      <c r="K167" s="15"/>
    </row>
    <row r="168" customFormat="false" ht="15" hidden="false" customHeight="false" outlineLevel="0" collapsed="false">
      <c r="A168" s="20"/>
      <c r="B168" s="15"/>
      <c r="C168" s="14"/>
      <c r="D168" s="15"/>
      <c r="E168" s="14"/>
      <c r="F168" s="14"/>
      <c r="G168" s="15"/>
      <c r="H168" s="14"/>
      <c r="I168" s="20"/>
      <c r="J168" s="18" t="str">
        <f aca="true">IF(A168="","",IF(I168="",TODAY()-A168,I168-A168))</f>
        <v/>
      </c>
      <c r="K168" s="15"/>
    </row>
    <row r="169" customFormat="false" ht="15" hidden="false" customHeight="false" outlineLevel="0" collapsed="false">
      <c r="A169" s="20"/>
      <c r="B169" s="15"/>
      <c r="C169" s="14"/>
      <c r="D169" s="15"/>
      <c r="E169" s="14"/>
      <c r="F169" s="14"/>
      <c r="G169" s="15"/>
      <c r="H169" s="14"/>
      <c r="I169" s="20"/>
      <c r="J169" s="18" t="str">
        <f aca="true">IF(A169="","",IF(I169="",TODAY()-A169,I169-A169))</f>
        <v/>
      </c>
      <c r="K169" s="15"/>
    </row>
    <row r="170" customFormat="false" ht="15" hidden="false" customHeight="false" outlineLevel="0" collapsed="false">
      <c r="A170" s="20"/>
      <c r="B170" s="15"/>
      <c r="C170" s="14"/>
      <c r="D170" s="15"/>
      <c r="E170" s="14"/>
      <c r="F170" s="14"/>
      <c r="G170" s="15"/>
      <c r="H170" s="14"/>
      <c r="I170" s="20"/>
      <c r="J170" s="18" t="str">
        <f aca="true">IF(A170="","",IF(I170="",TODAY()-A170,I170-A170))</f>
        <v/>
      </c>
      <c r="K170" s="15"/>
    </row>
    <row r="171" customFormat="false" ht="15" hidden="false" customHeight="false" outlineLevel="0" collapsed="false">
      <c r="A171" s="20"/>
      <c r="B171" s="15"/>
      <c r="C171" s="14"/>
      <c r="D171" s="15"/>
      <c r="E171" s="14"/>
      <c r="F171" s="14"/>
      <c r="G171" s="15"/>
      <c r="H171" s="14"/>
      <c r="I171" s="20"/>
      <c r="J171" s="18" t="str">
        <f aca="true">IF(A171="","",IF(I171="",TODAY()-A171,I171-A171))</f>
        <v/>
      </c>
      <c r="K171" s="15"/>
    </row>
    <row r="172" customFormat="false" ht="15" hidden="false" customHeight="false" outlineLevel="0" collapsed="false">
      <c r="A172" s="20"/>
      <c r="B172" s="15"/>
      <c r="C172" s="14"/>
      <c r="D172" s="15"/>
      <c r="E172" s="14"/>
      <c r="F172" s="14"/>
      <c r="G172" s="15"/>
      <c r="H172" s="14"/>
      <c r="I172" s="20"/>
      <c r="J172" s="18" t="str">
        <f aca="true">IF(A172="","",IF(I172="",TODAY()-A172,I172-A172))</f>
        <v/>
      </c>
      <c r="K172" s="15"/>
    </row>
    <row r="173" customFormat="false" ht="15" hidden="false" customHeight="false" outlineLevel="0" collapsed="false">
      <c r="A173" s="20"/>
      <c r="B173" s="15"/>
      <c r="C173" s="14"/>
      <c r="D173" s="15"/>
      <c r="E173" s="14"/>
      <c r="F173" s="14"/>
      <c r="G173" s="15"/>
      <c r="H173" s="14"/>
      <c r="I173" s="20"/>
      <c r="J173" s="18" t="str">
        <f aca="true">IF(A173="","",IF(I173="",TODAY()-A173,I173-A173))</f>
        <v/>
      </c>
      <c r="K173" s="15"/>
    </row>
    <row r="174" customFormat="false" ht="15" hidden="false" customHeight="false" outlineLevel="0" collapsed="false">
      <c r="A174" s="20"/>
      <c r="B174" s="15"/>
      <c r="C174" s="14"/>
      <c r="D174" s="15"/>
      <c r="E174" s="14"/>
      <c r="F174" s="14"/>
      <c r="G174" s="15"/>
      <c r="H174" s="14"/>
      <c r="I174" s="20"/>
      <c r="J174" s="18" t="str">
        <f aca="true">IF(A174="","",IF(I174="",TODAY()-A174,I174-A174))</f>
        <v/>
      </c>
      <c r="K174" s="15"/>
    </row>
    <row r="175" customFormat="false" ht="15" hidden="false" customHeight="false" outlineLevel="0" collapsed="false">
      <c r="A175" s="20"/>
      <c r="B175" s="15"/>
      <c r="C175" s="14"/>
      <c r="D175" s="15"/>
      <c r="E175" s="14"/>
      <c r="F175" s="14"/>
      <c r="G175" s="15"/>
      <c r="H175" s="14"/>
      <c r="I175" s="20"/>
      <c r="J175" s="18" t="str">
        <f aca="true">IF(A175="","",IF(I175="",TODAY()-A175,I175-A175))</f>
        <v/>
      </c>
      <c r="K175" s="15"/>
    </row>
    <row r="176" customFormat="false" ht="15" hidden="false" customHeight="false" outlineLevel="0" collapsed="false">
      <c r="A176" s="20"/>
      <c r="B176" s="15"/>
      <c r="C176" s="14"/>
      <c r="D176" s="15"/>
      <c r="E176" s="14"/>
      <c r="F176" s="14"/>
      <c r="G176" s="15"/>
      <c r="H176" s="14"/>
      <c r="I176" s="20"/>
      <c r="J176" s="18" t="str">
        <f aca="true">IF(A176="","",IF(I176="",TODAY()-A176,I176-A176))</f>
        <v/>
      </c>
      <c r="K176" s="15"/>
    </row>
    <row r="177" customFormat="false" ht="15" hidden="false" customHeight="false" outlineLevel="0" collapsed="false">
      <c r="A177" s="20"/>
      <c r="B177" s="15"/>
      <c r="C177" s="14"/>
      <c r="D177" s="15"/>
      <c r="E177" s="14"/>
      <c r="F177" s="14"/>
      <c r="G177" s="15"/>
      <c r="H177" s="14"/>
      <c r="I177" s="20"/>
      <c r="J177" s="18" t="str">
        <f aca="true">IF(A177="","",IF(I177="",TODAY()-A177,I177-A177))</f>
        <v/>
      </c>
      <c r="K177" s="15"/>
    </row>
    <row r="178" customFormat="false" ht="15" hidden="false" customHeight="false" outlineLevel="0" collapsed="false">
      <c r="A178" s="20"/>
      <c r="B178" s="15"/>
      <c r="C178" s="14"/>
      <c r="D178" s="15"/>
      <c r="E178" s="14"/>
      <c r="F178" s="14"/>
      <c r="G178" s="15"/>
      <c r="H178" s="14"/>
      <c r="I178" s="20"/>
      <c r="J178" s="18" t="str">
        <f aca="true">IF(A178="","",IF(I178="",TODAY()-A178,I178-A178))</f>
        <v/>
      </c>
      <c r="K178" s="15"/>
    </row>
    <row r="179" customFormat="false" ht="15" hidden="false" customHeight="false" outlineLevel="0" collapsed="false">
      <c r="A179" s="20"/>
      <c r="B179" s="15"/>
      <c r="C179" s="14"/>
      <c r="D179" s="15"/>
      <c r="E179" s="14"/>
      <c r="F179" s="14"/>
      <c r="G179" s="15"/>
      <c r="H179" s="14"/>
      <c r="I179" s="20"/>
      <c r="J179" s="18" t="str">
        <f aca="true">IF(A179="","",IF(I179="",TODAY()-A179,I179-A179))</f>
        <v/>
      </c>
      <c r="K179" s="15"/>
    </row>
    <row r="180" customFormat="false" ht="15" hidden="false" customHeight="false" outlineLevel="0" collapsed="false">
      <c r="A180" s="20"/>
      <c r="B180" s="15"/>
      <c r="C180" s="14"/>
      <c r="D180" s="15"/>
      <c r="E180" s="14"/>
      <c r="F180" s="14"/>
      <c r="G180" s="15"/>
      <c r="H180" s="14"/>
      <c r="I180" s="20"/>
      <c r="J180" s="18" t="str">
        <f aca="true">IF(A180="","",IF(I180="",TODAY()-A180,I180-A180))</f>
        <v/>
      </c>
      <c r="K180" s="15"/>
    </row>
    <row r="181" customFormat="false" ht="15" hidden="false" customHeight="false" outlineLevel="0" collapsed="false">
      <c r="A181" s="20"/>
      <c r="B181" s="15"/>
      <c r="C181" s="14"/>
      <c r="D181" s="15"/>
      <c r="E181" s="14"/>
      <c r="F181" s="14"/>
      <c r="G181" s="15"/>
      <c r="H181" s="14"/>
      <c r="I181" s="20"/>
      <c r="J181" s="18" t="str">
        <f aca="true">IF(A181="","",IF(I181="",TODAY()-A181,I181-A181))</f>
        <v/>
      </c>
      <c r="K181" s="15"/>
    </row>
    <row r="182" customFormat="false" ht="15" hidden="false" customHeight="false" outlineLevel="0" collapsed="false">
      <c r="A182" s="20"/>
      <c r="B182" s="15"/>
      <c r="C182" s="14"/>
      <c r="D182" s="15"/>
      <c r="E182" s="14"/>
      <c r="F182" s="14"/>
      <c r="G182" s="15"/>
      <c r="H182" s="14"/>
      <c r="I182" s="20"/>
      <c r="J182" s="18" t="str">
        <f aca="true">IF(A182="","",IF(I182="",TODAY()-A182,I182-A182))</f>
        <v/>
      </c>
      <c r="K182" s="15"/>
    </row>
    <row r="183" customFormat="false" ht="15" hidden="false" customHeight="false" outlineLevel="0" collapsed="false">
      <c r="A183" s="20"/>
      <c r="B183" s="15"/>
      <c r="C183" s="14"/>
      <c r="D183" s="15"/>
      <c r="E183" s="14"/>
      <c r="F183" s="14"/>
      <c r="G183" s="15"/>
      <c r="H183" s="14"/>
      <c r="I183" s="20"/>
      <c r="J183" s="18" t="str">
        <f aca="true">IF(A183="","",IF(I183="",TODAY()-A183,I183-A183))</f>
        <v/>
      </c>
      <c r="K183" s="15"/>
    </row>
    <row r="184" customFormat="false" ht="15" hidden="false" customHeight="false" outlineLevel="0" collapsed="false">
      <c r="A184" s="20"/>
      <c r="B184" s="15"/>
      <c r="C184" s="14"/>
      <c r="D184" s="15"/>
      <c r="E184" s="14"/>
      <c r="F184" s="14"/>
      <c r="G184" s="15"/>
      <c r="H184" s="14"/>
      <c r="I184" s="20"/>
      <c r="J184" s="18" t="str">
        <f aca="true">IF(A184="","",IF(I184="",TODAY()-A184,I184-A184))</f>
        <v/>
      </c>
      <c r="K184" s="15"/>
    </row>
    <row r="185" customFormat="false" ht="15" hidden="false" customHeight="false" outlineLevel="0" collapsed="false">
      <c r="A185" s="20"/>
      <c r="B185" s="15"/>
      <c r="C185" s="14"/>
      <c r="D185" s="15"/>
      <c r="E185" s="14"/>
      <c r="F185" s="14"/>
      <c r="G185" s="15"/>
      <c r="H185" s="14"/>
      <c r="I185" s="20"/>
      <c r="J185" s="18" t="str">
        <f aca="true">IF(A185="","",IF(I185="",TODAY()-A185,I185-A185))</f>
        <v/>
      </c>
      <c r="K185" s="15"/>
    </row>
    <row r="186" customFormat="false" ht="15" hidden="false" customHeight="false" outlineLevel="0" collapsed="false">
      <c r="A186" s="20"/>
      <c r="B186" s="15"/>
      <c r="C186" s="14"/>
      <c r="D186" s="15"/>
      <c r="E186" s="14"/>
      <c r="F186" s="14"/>
      <c r="G186" s="15"/>
      <c r="H186" s="14"/>
      <c r="I186" s="20"/>
      <c r="J186" s="18" t="str">
        <f aca="true">IF(A186="","",IF(I186="",TODAY()-A186,I186-A186))</f>
        <v/>
      </c>
      <c r="K186" s="15"/>
    </row>
    <row r="187" customFormat="false" ht="15" hidden="false" customHeight="false" outlineLevel="0" collapsed="false">
      <c r="A187" s="20"/>
      <c r="B187" s="15"/>
      <c r="C187" s="14"/>
      <c r="D187" s="15"/>
      <c r="E187" s="14"/>
      <c r="F187" s="14"/>
      <c r="G187" s="15"/>
      <c r="H187" s="14"/>
      <c r="I187" s="20"/>
      <c r="J187" s="18" t="str">
        <f aca="true">IF(A187="","",IF(I187="",TODAY()-A187,I187-A187))</f>
        <v/>
      </c>
      <c r="K187" s="15"/>
    </row>
    <row r="188" customFormat="false" ht="15" hidden="false" customHeight="false" outlineLevel="0" collapsed="false">
      <c r="A188" s="20"/>
      <c r="B188" s="15"/>
      <c r="C188" s="14"/>
      <c r="D188" s="15"/>
      <c r="E188" s="14"/>
      <c r="F188" s="14"/>
      <c r="G188" s="15"/>
      <c r="H188" s="14"/>
      <c r="I188" s="20"/>
      <c r="J188" s="18" t="str">
        <f aca="true">IF(A188="","",IF(I188="",TODAY()-A188,I188-A188))</f>
        <v/>
      </c>
      <c r="K188" s="15"/>
    </row>
    <row r="189" customFormat="false" ht="15" hidden="false" customHeight="false" outlineLevel="0" collapsed="false">
      <c r="A189" s="20"/>
      <c r="B189" s="15"/>
      <c r="C189" s="14"/>
      <c r="D189" s="15"/>
      <c r="E189" s="14"/>
      <c r="F189" s="14"/>
      <c r="G189" s="15"/>
      <c r="H189" s="14"/>
      <c r="I189" s="20"/>
      <c r="J189" s="18" t="str">
        <f aca="true">IF(A189="","",IF(I189="",TODAY()-A189,I189-A189))</f>
        <v/>
      </c>
      <c r="K189" s="15"/>
    </row>
    <row r="190" customFormat="false" ht="15" hidden="false" customHeight="false" outlineLevel="0" collapsed="false">
      <c r="A190" s="20"/>
      <c r="B190" s="15"/>
      <c r="C190" s="14"/>
      <c r="D190" s="15"/>
      <c r="E190" s="14"/>
      <c r="F190" s="14"/>
      <c r="G190" s="15"/>
      <c r="H190" s="14"/>
      <c r="I190" s="20"/>
      <c r="J190" s="18" t="str">
        <f aca="true">IF(A190="","",IF(I190="",TODAY()-A190,I190-A190))</f>
        <v/>
      </c>
      <c r="K190" s="15"/>
    </row>
    <row r="191" customFormat="false" ht="15" hidden="false" customHeight="false" outlineLevel="0" collapsed="false">
      <c r="A191" s="20"/>
      <c r="B191" s="15"/>
      <c r="C191" s="14"/>
      <c r="D191" s="15"/>
      <c r="E191" s="14"/>
      <c r="F191" s="14"/>
      <c r="G191" s="15"/>
      <c r="H191" s="14"/>
      <c r="I191" s="20"/>
      <c r="J191" s="18" t="str">
        <f aca="true">IF(A191="","",IF(I191="",TODAY()-A191,I191-A191))</f>
        <v/>
      </c>
      <c r="K191" s="15"/>
    </row>
    <row r="192" customFormat="false" ht="15" hidden="false" customHeight="false" outlineLevel="0" collapsed="false">
      <c r="A192" s="20"/>
      <c r="B192" s="15"/>
      <c r="C192" s="14"/>
      <c r="D192" s="15"/>
      <c r="E192" s="14"/>
      <c r="F192" s="14"/>
      <c r="G192" s="15"/>
      <c r="H192" s="14"/>
      <c r="I192" s="20"/>
      <c r="J192" s="18" t="str">
        <f aca="true">IF(A192="","",IF(I192="",TODAY()-A192,I192-A192))</f>
        <v/>
      </c>
      <c r="K192" s="15"/>
    </row>
    <row r="193" customFormat="false" ht="15" hidden="false" customHeight="false" outlineLevel="0" collapsed="false">
      <c r="A193" s="20"/>
      <c r="B193" s="15"/>
      <c r="C193" s="14"/>
      <c r="D193" s="15"/>
      <c r="E193" s="14"/>
      <c r="F193" s="14"/>
      <c r="G193" s="15"/>
      <c r="H193" s="14"/>
      <c r="I193" s="20"/>
      <c r="J193" s="18" t="str">
        <f aca="true">IF(A193="","",IF(I193="",TODAY()-A193,I193-A193))</f>
        <v/>
      </c>
      <c r="K193" s="15"/>
    </row>
    <row r="194" customFormat="false" ht="15" hidden="false" customHeight="false" outlineLevel="0" collapsed="false">
      <c r="A194" s="20"/>
      <c r="B194" s="15"/>
      <c r="C194" s="14"/>
      <c r="D194" s="15"/>
      <c r="E194" s="14"/>
      <c r="F194" s="14"/>
      <c r="G194" s="15"/>
      <c r="H194" s="14"/>
      <c r="I194" s="20"/>
      <c r="J194" s="18" t="str">
        <f aca="true">IF(A194="","",IF(I194="",TODAY()-A194,I194-A194))</f>
        <v/>
      </c>
      <c r="K194" s="15"/>
    </row>
    <row r="195" customFormat="false" ht="15" hidden="false" customHeight="false" outlineLevel="0" collapsed="false">
      <c r="A195" s="20"/>
      <c r="B195" s="15"/>
      <c r="C195" s="14"/>
      <c r="D195" s="15"/>
      <c r="E195" s="14"/>
      <c r="F195" s="14"/>
      <c r="G195" s="15"/>
      <c r="H195" s="14"/>
      <c r="I195" s="20"/>
      <c r="J195" s="18" t="str">
        <f aca="true">IF(A195="","",IF(I195="",TODAY()-A195,I195-A195))</f>
        <v/>
      </c>
      <c r="K195" s="15"/>
    </row>
    <row r="196" customFormat="false" ht="15" hidden="false" customHeight="false" outlineLevel="0" collapsed="false">
      <c r="A196" s="20"/>
      <c r="B196" s="15"/>
      <c r="C196" s="14"/>
      <c r="D196" s="15"/>
      <c r="E196" s="14"/>
      <c r="F196" s="14"/>
      <c r="G196" s="15"/>
      <c r="H196" s="14"/>
      <c r="I196" s="20"/>
      <c r="J196" s="18" t="str">
        <f aca="true">IF(A196="","",IF(I196="",TODAY()-A196,I196-A196))</f>
        <v/>
      </c>
      <c r="K196" s="15"/>
    </row>
    <row r="197" customFormat="false" ht="15" hidden="false" customHeight="false" outlineLevel="0" collapsed="false">
      <c r="A197" s="20"/>
      <c r="B197" s="15"/>
      <c r="C197" s="14"/>
      <c r="D197" s="15"/>
      <c r="E197" s="14"/>
      <c r="F197" s="14"/>
      <c r="G197" s="15"/>
      <c r="H197" s="14"/>
      <c r="I197" s="20"/>
      <c r="J197" s="18" t="str">
        <f aca="true">IF(A197="","",IF(I197="",TODAY()-A197,I197-A197))</f>
        <v/>
      </c>
      <c r="K197" s="15"/>
    </row>
    <row r="198" customFormat="false" ht="15" hidden="false" customHeight="false" outlineLevel="0" collapsed="false">
      <c r="A198" s="20"/>
      <c r="B198" s="15"/>
      <c r="C198" s="14"/>
      <c r="D198" s="15"/>
      <c r="E198" s="14"/>
      <c r="F198" s="14"/>
      <c r="G198" s="15"/>
      <c r="H198" s="14"/>
      <c r="I198" s="20"/>
      <c r="J198" s="18" t="str">
        <f aca="true">IF(A198="","",IF(I198="",TODAY()-A198,I198-A198))</f>
        <v/>
      </c>
      <c r="K198" s="15"/>
    </row>
    <row r="199" customFormat="false" ht="15" hidden="false" customHeight="false" outlineLevel="0" collapsed="false">
      <c r="A199" s="20"/>
      <c r="B199" s="15"/>
      <c r="C199" s="14"/>
      <c r="D199" s="15"/>
      <c r="E199" s="14"/>
      <c r="F199" s="14"/>
      <c r="G199" s="15"/>
      <c r="H199" s="14"/>
      <c r="I199" s="20"/>
      <c r="J199" s="18" t="str">
        <f aca="true">IF(A199="","",IF(I199="",TODAY()-A199,I199-A199))</f>
        <v/>
      </c>
      <c r="K199" s="15"/>
    </row>
    <row r="200" customFormat="false" ht="15" hidden="false" customHeight="false" outlineLevel="0" collapsed="false">
      <c r="A200" s="20"/>
      <c r="B200" s="15"/>
      <c r="C200" s="14"/>
      <c r="D200" s="15"/>
      <c r="E200" s="14"/>
      <c r="F200" s="14"/>
      <c r="G200" s="15"/>
      <c r="H200" s="14"/>
      <c r="I200" s="20"/>
      <c r="J200" s="18" t="str">
        <f aca="true">IF(A200="","",IF(I200="",TODAY()-A200,I200-A200))</f>
        <v/>
      </c>
      <c r="K200" s="15"/>
    </row>
    <row r="201" customFormat="false" ht="15" hidden="false" customHeight="false" outlineLevel="0" collapsed="false">
      <c r="A201" s="20"/>
      <c r="B201" s="15"/>
      <c r="C201" s="14"/>
      <c r="D201" s="15"/>
      <c r="E201" s="14"/>
      <c r="F201" s="14"/>
      <c r="G201" s="15"/>
      <c r="H201" s="14"/>
      <c r="I201" s="20"/>
      <c r="J201" s="18" t="str">
        <f aca="true">IF(A201="","",IF(I201="",TODAY()-A201,I201-A201))</f>
        <v/>
      </c>
      <c r="K201" s="15"/>
    </row>
    <row r="202" customFormat="false" ht="15" hidden="false" customHeight="false" outlineLevel="0" collapsed="false">
      <c r="A202" s="20"/>
      <c r="B202" s="15"/>
      <c r="C202" s="14"/>
      <c r="D202" s="15"/>
      <c r="E202" s="14"/>
      <c r="F202" s="14"/>
      <c r="G202" s="15"/>
      <c r="H202" s="14"/>
      <c r="I202" s="20"/>
      <c r="J202" s="18" t="str">
        <f aca="true">IF(A202="","",IF(I202="",TODAY()-A202,I202-A202))</f>
        <v/>
      </c>
      <c r="K202" s="15"/>
    </row>
    <row r="203" customFormat="false" ht="15" hidden="false" customHeight="false" outlineLevel="0" collapsed="false">
      <c r="A203" s="20"/>
      <c r="B203" s="15"/>
      <c r="C203" s="14"/>
      <c r="D203" s="15"/>
      <c r="E203" s="14"/>
      <c r="F203" s="14"/>
      <c r="G203" s="15"/>
      <c r="H203" s="14"/>
      <c r="I203" s="20"/>
      <c r="J203" s="18" t="str">
        <f aca="true">IF(A203="","",IF(I203="",TODAY()-A203,I203-A203))</f>
        <v/>
      </c>
      <c r="K203" s="15"/>
    </row>
    <row r="204" customFormat="false" ht="15" hidden="false" customHeight="false" outlineLevel="0" collapsed="false">
      <c r="A204" s="20"/>
      <c r="B204" s="15"/>
      <c r="C204" s="14"/>
      <c r="D204" s="15"/>
      <c r="E204" s="14"/>
      <c r="F204" s="14"/>
      <c r="G204" s="15"/>
      <c r="H204" s="14"/>
      <c r="I204" s="20"/>
      <c r="J204" s="18" t="str">
        <f aca="true">IF(A204="","",IF(I204="",TODAY()-A204,I204-A204))</f>
        <v/>
      </c>
      <c r="K204" s="15"/>
    </row>
    <row r="205" customFormat="false" ht="15" hidden="false" customHeight="false" outlineLevel="0" collapsed="false">
      <c r="A205" s="20"/>
      <c r="B205" s="15"/>
      <c r="C205" s="14"/>
      <c r="D205" s="15"/>
      <c r="E205" s="14"/>
      <c r="F205" s="14"/>
      <c r="G205" s="15"/>
      <c r="H205" s="14"/>
      <c r="I205" s="20"/>
      <c r="J205" s="18" t="str">
        <f aca="true">IF(A205="","",IF(I205="",TODAY()-A205,I205-A205))</f>
        <v/>
      </c>
      <c r="K205" s="15"/>
    </row>
  </sheetData>
  <autoFilter ref="A4:K205"/>
  <dataValidations count="2">
    <dataValidation allowBlank="true" errorStyle="stop" operator="between" showDropDown="false" showErrorMessage="false" showInputMessage="false" sqref="E5:E205" type="list">
      <formula1>"None yet,Vanilla test,Duplicate check,50/50 method,Other"</formula1>
      <formula2>0</formula2>
    </dataValidation>
    <dataValidation allowBlank="true" errorStyle="stop" operator="between" showDropDown="false" showErrorMessage="true" showInputMessage="false" sqref="H5:H205" type="list">
      <formula1>"Open,Waiting on creator,Resolved"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5A9C"/>
    <pageSetUpPr fitToPage="true"/>
  </sheetPr>
  <dimension ref="A1:G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5"/>
    <col collapsed="false" customWidth="true" hidden="false" outlineLevel="0" max="4" min="4" style="0" width="40"/>
    <col collapsed="false" customWidth="true" hidden="false" outlineLevel="0" max="5" min="5" style="0" width="16"/>
    <col collapsed="false" customWidth="true" hidden="false" outlineLevel="0" max="6" min="6" style="0" width="30"/>
    <col collapsed="false" customWidth="true" hidden="false" outlineLevel="0" max="7" min="7" style="0" width="48"/>
  </cols>
  <sheetData>
    <row r="1" customFormat="false" ht="19.7" hidden="false" customHeight="false" outlineLevel="0" collapsed="false">
      <c r="A1" s="1" t="s">
        <v>192</v>
      </c>
    </row>
    <row r="2" customFormat="false" ht="15" hidden="false" customHeight="false" outlineLevel="0" collapsed="false">
      <c r="A2" s="2" t="s">
        <v>193</v>
      </c>
    </row>
    <row r="4" customFormat="false" ht="30" hidden="false" customHeight="true" outlineLevel="0" collapsed="false">
      <c r="A4" s="13" t="s">
        <v>194</v>
      </c>
      <c r="B4" s="13" t="s">
        <v>195</v>
      </c>
      <c r="C4" s="13" t="s">
        <v>180</v>
      </c>
      <c r="D4" s="13" t="s">
        <v>196</v>
      </c>
      <c r="E4" s="13" t="s">
        <v>197</v>
      </c>
      <c r="F4" s="13" t="s">
        <v>198</v>
      </c>
      <c r="G4" s="13" t="s">
        <v>61</v>
      </c>
    </row>
    <row r="5" customFormat="false" ht="23.85" hidden="false" customHeight="false" outlineLevel="0" collapsed="false">
      <c r="A5" s="21" t="n">
        <v>46307</v>
      </c>
      <c r="B5" s="23" t="s">
        <v>199</v>
      </c>
      <c r="C5" s="23" t="s">
        <v>174</v>
      </c>
      <c r="D5" s="24" t="s">
        <v>200</v>
      </c>
      <c r="E5" s="23" t="s">
        <v>201</v>
      </c>
      <c r="F5" s="23" t="s">
        <v>202</v>
      </c>
      <c r="G5" s="24" t="s">
        <v>172</v>
      </c>
    </row>
    <row r="6" customFormat="false" ht="15" hidden="false" customHeight="false" outlineLevel="0" collapsed="false">
      <c r="A6" s="20"/>
      <c r="B6" s="14"/>
      <c r="C6" s="14"/>
      <c r="D6" s="15"/>
      <c r="E6" s="14"/>
      <c r="F6" s="14"/>
      <c r="G6" s="15"/>
    </row>
    <row r="7" customFormat="false" ht="15" hidden="false" customHeight="false" outlineLevel="0" collapsed="false">
      <c r="A7" s="20"/>
      <c r="B7" s="14"/>
      <c r="C7" s="14"/>
      <c r="D7" s="15"/>
      <c r="E7" s="14"/>
      <c r="F7" s="14"/>
      <c r="G7" s="15"/>
    </row>
    <row r="8" customFormat="false" ht="15" hidden="false" customHeight="false" outlineLevel="0" collapsed="false">
      <c r="A8" s="20"/>
      <c r="B8" s="14"/>
      <c r="C8" s="14"/>
      <c r="D8" s="15"/>
      <c r="E8" s="14"/>
      <c r="F8" s="14"/>
      <c r="G8" s="15"/>
    </row>
    <row r="9" customFormat="false" ht="15" hidden="false" customHeight="false" outlineLevel="0" collapsed="false">
      <c r="A9" s="20"/>
      <c r="B9" s="14"/>
      <c r="C9" s="14"/>
      <c r="D9" s="15"/>
      <c r="E9" s="14"/>
      <c r="F9" s="14"/>
      <c r="G9" s="15"/>
    </row>
    <row r="10" customFormat="false" ht="15" hidden="false" customHeight="false" outlineLevel="0" collapsed="false">
      <c r="A10" s="20"/>
      <c r="B10" s="14"/>
      <c r="C10" s="14"/>
      <c r="D10" s="15"/>
      <c r="E10" s="14"/>
      <c r="F10" s="14"/>
      <c r="G10" s="15"/>
    </row>
    <row r="11" customFormat="false" ht="15" hidden="false" customHeight="false" outlineLevel="0" collapsed="false">
      <c r="A11" s="20"/>
      <c r="B11" s="14"/>
      <c r="C11" s="14"/>
      <c r="D11" s="15"/>
      <c r="E11" s="14"/>
      <c r="F11" s="14"/>
      <c r="G11" s="15"/>
    </row>
    <row r="12" customFormat="false" ht="15" hidden="false" customHeight="false" outlineLevel="0" collapsed="false">
      <c r="A12" s="20"/>
      <c r="B12" s="14"/>
      <c r="C12" s="14"/>
      <c r="D12" s="15"/>
      <c r="E12" s="14"/>
      <c r="F12" s="14"/>
      <c r="G12" s="15"/>
    </row>
    <row r="13" customFormat="false" ht="15" hidden="false" customHeight="false" outlineLevel="0" collapsed="false">
      <c r="A13" s="20"/>
      <c r="B13" s="14"/>
      <c r="C13" s="14"/>
      <c r="D13" s="15"/>
      <c r="E13" s="14"/>
      <c r="F13" s="14"/>
      <c r="G13" s="15"/>
    </row>
    <row r="14" customFormat="false" ht="15" hidden="false" customHeight="false" outlineLevel="0" collapsed="false">
      <c r="A14" s="20"/>
      <c r="B14" s="14"/>
      <c r="C14" s="14"/>
      <c r="D14" s="15"/>
      <c r="E14" s="14"/>
      <c r="F14" s="14"/>
      <c r="G14" s="15"/>
    </row>
    <row r="15" customFormat="false" ht="15" hidden="false" customHeight="false" outlineLevel="0" collapsed="false">
      <c r="A15" s="20"/>
      <c r="B15" s="14"/>
      <c r="C15" s="14"/>
      <c r="D15" s="15"/>
      <c r="E15" s="14"/>
      <c r="F15" s="14"/>
      <c r="G15" s="15"/>
    </row>
    <row r="16" customFormat="false" ht="15" hidden="false" customHeight="false" outlineLevel="0" collapsed="false">
      <c r="A16" s="20"/>
      <c r="B16" s="14"/>
      <c r="C16" s="14"/>
      <c r="D16" s="15"/>
      <c r="E16" s="14"/>
      <c r="F16" s="14"/>
      <c r="G16" s="15"/>
    </row>
    <row r="17" customFormat="false" ht="15" hidden="false" customHeight="false" outlineLevel="0" collapsed="false">
      <c r="A17" s="20"/>
      <c r="B17" s="14"/>
      <c r="C17" s="14"/>
      <c r="D17" s="15"/>
      <c r="E17" s="14"/>
      <c r="F17" s="14"/>
      <c r="G17" s="15"/>
    </row>
    <row r="18" customFormat="false" ht="15" hidden="false" customHeight="false" outlineLevel="0" collapsed="false">
      <c r="A18" s="20"/>
      <c r="B18" s="14"/>
      <c r="C18" s="14"/>
      <c r="D18" s="15"/>
      <c r="E18" s="14"/>
      <c r="F18" s="14"/>
      <c r="G18" s="15"/>
    </row>
    <row r="19" customFormat="false" ht="15" hidden="false" customHeight="false" outlineLevel="0" collapsed="false">
      <c r="A19" s="20"/>
      <c r="B19" s="14"/>
      <c r="C19" s="14"/>
      <c r="D19" s="15"/>
      <c r="E19" s="14"/>
      <c r="F19" s="14"/>
      <c r="G19" s="15"/>
    </row>
    <row r="20" customFormat="false" ht="15" hidden="false" customHeight="false" outlineLevel="0" collapsed="false">
      <c r="A20" s="20"/>
      <c r="B20" s="14"/>
      <c r="C20" s="14"/>
      <c r="D20" s="15"/>
      <c r="E20" s="14"/>
      <c r="F20" s="14"/>
      <c r="G20" s="15"/>
    </row>
    <row r="21" customFormat="false" ht="15" hidden="false" customHeight="false" outlineLevel="0" collapsed="false">
      <c r="A21" s="20"/>
      <c r="B21" s="14"/>
      <c r="C21" s="14"/>
      <c r="D21" s="15"/>
      <c r="E21" s="14"/>
      <c r="F21" s="14"/>
      <c r="G21" s="15"/>
    </row>
    <row r="22" customFormat="false" ht="15" hidden="false" customHeight="false" outlineLevel="0" collapsed="false">
      <c r="A22" s="20"/>
      <c r="B22" s="14"/>
      <c r="C22" s="14"/>
      <c r="D22" s="15"/>
      <c r="E22" s="14"/>
      <c r="F22" s="14"/>
      <c r="G22" s="15"/>
    </row>
    <row r="23" customFormat="false" ht="15" hidden="false" customHeight="false" outlineLevel="0" collapsed="false">
      <c r="A23" s="20"/>
      <c r="B23" s="14"/>
      <c r="C23" s="14"/>
      <c r="D23" s="15"/>
      <c r="E23" s="14"/>
      <c r="F23" s="14"/>
      <c r="G23" s="15"/>
    </row>
    <row r="24" customFormat="false" ht="15" hidden="false" customHeight="false" outlineLevel="0" collapsed="false">
      <c r="A24" s="20"/>
      <c r="B24" s="14"/>
      <c r="C24" s="14"/>
      <c r="D24" s="15"/>
      <c r="E24" s="14"/>
      <c r="F24" s="14"/>
      <c r="G24" s="15"/>
    </row>
    <row r="25" customFormat="false" ht="15" hidden="false" customHeight="false" outlineLevel="0" collapsed="false">
      <c r="A25" s="20"/>
      <c r="B25" s="14"/>
      <c r="C25" s="14"/>
      <c r="D25" s="15"/>
      <c r="E25" s="14"/>
      <c r="F25" s="14"/>
      <c r="G25" s="15"/>
    </row>
    <row r="26" customFormat="false" ht="15" hidden="false" customHeight="false" outlineLevel="0" collapsed="false">
      <c r="A26" s="20"/>
      <c r="B26" s="14"/>
      <c r="C26" s="14"/>
      <c r="D26" s="15"/>
      <c r="E26" s="14"/>
      <c r="F26" s="14"/>
      <c r="G26" s="15"/>
    </row>
    <row r="27" customFormat="false" ht="15" hidden="false" customHeight="false" outlineLevel="0" collapsed="false">
      <c r="A27" s="20"/>
      <c r="B27" s="14"/>
      <c r="C27" s="14"/>
      <c r="D27" s="15"/>
      <c r="E27" s="14"/>
      <c r="F27" s="14"/>
      <c r="G27" s="15"/>
    </row>
    <row r="28" customFormat="false" ht="15" hidden="false" customHeight="false" outlineLevel="0" collapsed="false">
      <c r="A28" s="20"/>
      <c r="B28" s="14"/>
      <c r="C28" s="14"/>
      <c r="D28" s="15"/>
      <c r="E28" s="14"/>
      <c r="F28" s="14"/>
      <c r="G28" s="15"/>
    </row>
    <row r="29" customFormat="false" ht="15" hidden="false" customHeight="false" outlineLevel="0" collapsed="false">
      <c r="A29" s="20"/>
      <c r="B29" s="14"/>
      <c r="C29" s="14"/>
      <c r="D29" s="15"/>
      <c r="E29" s="14"/>
      <c r="F29" s="14"/>
      <c r="G29" s="15"/>
    </row>
    <row r="30" customFormat="false" ht="15" hidden="false" customHeight="false" outlineLevel="0" collapsed="false">
      <c r="A30" s="20"/>
      <c r="B30" s="14"/>
      <c r="C30" s="14"/>
      <c r="D30" s="15"/>
      <c r="E30" s="14"/>
      <c r="F30" s="14"/>
      <c r="G30" s="15"/>
    </row>
    <row r="31" customFormat="false" ht="15" hidden="false" customHeight="false" outlineLevel="0" collapsed="false">
      <c r="A31" s="20"/>
      <c r="B31" s="14"/>
      <c r="C31" s="14"/>
      <c r="D31" s="15"/>
      <c r="E31" s="14"/>
      <c r="F31" s="14"/>
      <c r="G31" s="15"/>
    </row>
    <row r="32" customFormat="false" ht="15" hidden="false" customHeight="false" outlineLevel="0" collapsed="false">
      <c r="A32" s="20"/>
      <c r="B32" s="14"/>
      <c r="C32" s="14"/>
      <c r="D32" s="15"/>
      <c r="E32" s="14"/>
      <c r="F32" s="14"/>
      <c r="G32" s="15"/>
    </row>
    <row r="33" customFormat="false" ht="15" hidden="false" customHeight="false" outlineLevel="0" collapsed="false">
      <c r="A33" s="20"/>
      <c r="B33" s="14"/>
      <c r="C33" s="14"/>
      <c r="D33" s="15"/>
      <c r="E33" s="14"/>
      <c r="F33" s="14"/>
      <c r="G33" s="15"/>
    </row>
    <row r="34" customFormat="false" ht="15" hidden="false" customHeight="false" outlineLevel="0" collapsed="false">
      <c r="A34" s="20"/>
      <c r="B34" s="14"/>
      <c r="C34" s="14"/>
      <c r="D34" s="15"/>
      <c r="E34" s="14"/>
      <c r="F34" s="14"/>
      <c r="G34" s="15"/>
    </row>
    <row r="35" customFormat="false" ht="15" hidden="false" customHeight="false" outlineLevel="0" collapsed="false">
      <c r="A35" s="20"/>
      <c r="B35" s="14"/>
      <c r="C35" s="14"/>
      <c r="D35" s="15"/>
      <c r="E35" s="14"/>
      <c r="F35" s="14"/>
      <c r="G35" s="15"/>
    </row>
    <row r="36" customFormat="false" ht="15" hidden="false" customHeight="false" outlineLevel="0" collapsed="false">
      <c r="A36" s="20"/>
      <c r="B36" s="14"/>
      <c r="C36" s="14"/>
      <c r="D36" s="15"/>
      <c r="E36" s="14"/>
      <c r="F36" s="14"/>
      <c r="G36" s="15"/>
    </row>
    <row r="37" customFormat="false" ht="15" hidden="false" customHeight="false" outlineLevel="0" collapsed="false">
      <c r="A37" s="20"/>
      <c r="B37" s="14"/>
      <c r="C37" s="14"/>
      <c r="D37" s="15"/>
      <c r="E37" s="14"/>
      <c r="F37" s="14"/>
      <c r="G37" s="15"/>
    </row>
    <row r="38" customFormat="false" ht="15" hidden="false" customHeight="false" outlineLevel="0" collapsed="false">
      <c r="A38" s="20"/>
      <c r="B38" s="14"/>
      <c r="C38" s="14"/>
      <c r="D38" s="15"/>
      <c r="E38" s="14"/>
      <c r="F38" s="14"/>
      <c r="G38" s="15"/>
    </row>
    <row r="39" customFormat="false" ht="15" hidden="false" customHeight="false" outlineLevel="0" collapsed="false">
      <c r="A39" s="20"/>
      <c r="B39" s="14"/>
      <c r="C39" s="14"/>
      <c r="D39" s="15"/>
      <c r="E39" s="14"/>
      <c r="F39" s="14"/>
      <c r="G39" s="15"/>
    </row>
    <row r="40" customFormat="false" ht="15" hidden="false" customHeight="false" outlineLevel="0" collapsed="false">
      <c r="A40" s="20"/>
      <c r="B40" s="14"/>
      <c r="C40" s="14"/>
      <c r="D40" s="15"/>
      <c r="E40" s="14"/>
      <c r="F40" s="14"/>
      <c r="G40" s="15"/>
    </row>
    <row r="41" customFormat="false" ht="15" hidden="false" customHeight="false" outlineLevel="0" collapsed="false">
      <c r="A41" s="20"/>
      <c r="B41" s="14"/>
      <c r="C41" s="14"/>
      <c r="D41" s="15"/>
      <c r="E41" s="14"/>
      <c r="F41" s="14"/>
      <c r="G41" s="15"/>
    </row>
    <row r="42" customFormat="false" ht="15" hidden="false" customHeight="false" outlineLevel="0" collapsed="false">
      <c r="A42" s="20"/>
      <c r="B42" s="14"/>
      <c r="C42" s="14"/>
      <c r="D42" s="15"/>
      <c r="E42" s="14"/>
      <c r="F42" s="14"/>
      <c r="G42" s="15"/>
    </row>
    <row r="43" customFormat="false" ht="15" hidden="false" customHeight="false" outlineLevel="0" collapsed="false">
      <c r="A43" s="20"/>
      <c r="B43" s="14"/>
      <c r="C43" s="14"/>
      <c r="D43" s="15"/>
      <c r="E43" s="14"/>
      <c r="F43" s="14"/>
      <c r="G43" s="15"/>
    </row>
    <row r="44" customFormat="false" ht="15" hidden="false" customHeight="false" outlineLevel="0" collapsed="false">
      <c r="A44" s="20"/>
      <c r="B44" s="14"/>
      <c r="C44" s="14"/>
      <c r="D44" s="15"/>
      <c r="E44" s="14"/>
      <c r="F44" s="14"/>
      <c r="G44" s="15"/>
    </row>
    <row r="45" customFormat="false" ht="15" hidden="false" customHeight="false" outlineLevel="0" collapsed="false">
      <c r="A45" s="20"/>
      <c r="B45" s="14"/>
      <c r="C45" s="14"/>
      <c r="D45" s="15"/>
      <c r="E45" s="14"/>
      <c r="F45" s="14"/>
      <c r="G45" s="15"/>
    </row>
    <row r="46" customFormat="false" ht="15" hidden="false" customHeight="false" outlineLevel="0" collapsed="false">
      <c r="A46" s="20"/>
      <c r="B46" s="14"/>
      <c r="C46" s="14"/>
      <c r="D46" s="15"/>
      <c r="E46" s="14"/>
      <c r="F46" s="14"/>
      <c r="G46" s="15"/>
    </row>
    <row r="47" customFormat="false" ht="15" hidden="false" customHeight="false" outlineLevel="0" collapsed="false">
      <c r="A47" s="20"/>
      <c r="B47" s="14"/>
      <c r="C47" s="14"/>
      <c r="D47" s="15"/>
      <c r="E47" s="14"/>
      <c r="F47" s="14"/>
      <c r="G47" s="15"/>
    </row>
    <row r="48" customFormat="false" ht="15" hidden="false" customHeight="false" outlineLevel="0" collapsed="false">
      <c r="A48" s="20"/>
      <c r="B48" s="14"/>
      <c r="C48" s="14"/>
      <c r="D48" s="15"/>
      <c r="E48" s="14"/>
      <c r="F48" s="14"/>
      <c r="G48" s="15"/>
    </row>
    <row r="49" customFormat="false" ht="15" hidden="false" customHeight="false" outlineLevel="0" collapsed="false">
      <c r="A49" s="20"/>
      <c r="B49" s="14"/>
      <c r="C49" s="14"/>
      <c r="D49" s="15"/>
      <c r="E49" s="14"/>
      <c r="F49" s="14"/>
      <c r="G49" s="15"/>
    </row>
    <row r="50" customFormat="false" ht="15" hidden="false" customHeight="false" outlineLevel="0" collapsed="false">
      <c r="A50" s="20"/>
      <c r="B50" s="14"/>
      <c r="C50" s="14"/>
      <c r="D50" s="15"/>
      <c r="E50" s="14"/>
      <c r="F50" s="14"/>
      <c r="G50" s="15"/>
    </row>
    <row r="51" customFormat="false" ht="15" hidden="false" customHeight="false" outlineLevel="0" collapsed="false">
      <c r="A51" s="20"/>
      <c r="B51" s="14"/>
      <c r="C51" s="14"/>
      <c r="D51" s="15"/>
      <c r="E51" s="14"/>
      <c r="F51" s="14"/>
      <c r="G51" s="15"/>
    </row>
    <row r="52" customFormat="false" ht="15" hidden="false" customHeight="false" outlineLevel="0" collapsed="false">
      <c r="A52" s="20"/>
      <c r="B52" s="14"/>
      <c r="C52" s="14"/>
      <c r="D52" s="15"/>
      <c r="E52" s="14"/>
      <c r="F52" s="14"/>
      <c r="G52" s="15"/>
    </row>
    <row r="53" customFormat="false" ht="15" hidden="false" customHeight="false" outlineLevel="0" collapsed="false">
      <c r="A53" s="20"/>
      <c r="B53" s="14"/>
      <c r="C53" s="14"/>
      <c r="D53" s="15"/>
      <c r="E53" s="14"/>
      <c r="F53" s="14"/>
      <c r="G53" s="15"/>
    </row>
    <row r="54" customFormat="false" ht="15" hidden="false" customHeight="false" outlineLevel="0" collapsed="false">
      <c r="A54" s="20"/>
      <c r="B54" s="14"/>
      <c r="C54" s="14"/>
      <c r="D54" s="15"/>
      <c r="E54" s="14"/>
      <c r="F54" s="14"/>
      <c r="G54" s="15"/>
    </row>
    <row r="55" customFormat="false" ht="15" hidden="false" customHeight="false" outlineLevel="0" collapsed="false">
      <c r="A55" s="20"/>
      <c r="B55" s="14"/>
      <c r="C55" s="14"/>
      <c r="D55" s="15"/>
      <c r="E55" s="14"/>
      <c r="F55" s="14"/>
      <c r="G55" s="15"/>
    </row>
    <row r="56" customFormat="false" ht="15" hidden="false" customHeight="false" outlineLevel="0" collapsed="false">
      <c r="A56" s="20"/>
      <c r="B56" s="14"/>
      <c r="C56" s="14"/>
      <c r="D56" s="15"/>
      <c r="E56" s="14"/>
      <c r="F56" s="14"/>
      <c r="G56" s="15"/>
    </row>
    <row r="57" customFormat="false" ht="15" hidden="false" customHeight="false" outlineLevel="0" collapsed="false">
      <c r="A57" s="20"/>
      <c r="B57" s="14"/>
      <c r="C57" s="14"/>
      <c r="D57" s="15"/>
      <c r="E57" s="14"/>
      <c r="F57" s="14"/>
      <c r="G57" s="15"/>
    </row>
    <row r="58" customFormat="false" ht="15" hidden="false" customHeight="false" outlineLevel="0" collapsed="false">
      <c r="A58" s="20"/>
      <c r="B58" s="14"/>
      <c r="C58" s="14"/>
      <c r="D58" s="15"/>
      <c r="E58" s="14"/>
      <c r="F58" s="14"/>
      <c r="G58" s="15"/>
    </row>
    <row r="59" customFormat="false" ht="15" hidden="false" customHeight="false" outlineLevel="0" collapsed="false">
      <c r="A59" s="20"/>
      <c r="B59" s="14"/>
      <c r="C59" s="14"/>
      <c r="D59" s="15"/>
      <c r="E59" s="14"/>
      <c r="F59" s="14"/>
      <c r="G59" s="15"/>
    </row>
    <row r="60" customFormat="false" ht="15" hidden="false" customHeight="false" outlineLevel="0" collapsed="false">
      <c r="A60" s="20"/>
      <c r="B60" s="14"/>
      <c r="C60" s="14"/>
      <c r="D60" s="15"/>
      <c r="E60" s="14"/>
      <c r="F60" s="14"/>
      <c r="G60" s="15"/>
    </row>
    <row r="61" customFormat="false" ht="15" hidden="false" customHeight="false" outlineLevel="0" collapsed="false">
      <c r="A61" s="20"/>
      <c r="B61" s="14"/>
      <c r="C61" s="14"/>
      <c r="D61" s="15"/>
      <c r="E61" s="14"/>
      <c r="F61" s="14"/>
      <c r="G61" s="15"/>
    </row>
    <row r="62" customFormat="false" ht="15" hidden="false" customHeight="false" outlineLevel="0" collapsed="false">
      <c r="A62" s="20"/>
      <c r="B62" s="14"/>
      <c r="C62" s="14"/>
      <c r="D62" s="15"/>
      <c r="E62" s="14"/>
      <c r="F62" s="14"/>
      <c r="G62" s="15"/>
    </row>
    <row r="63" customFormat="false" ht="15" hidden="false" customHeight="false" outlineLevel="0" collapsed="false">
      <c r="A63" s="20"/>
      <c r="B63" s="14"/>
      <c r="C63" s="14"/>
      <c r="D63" s="15"/>
      <c r="E63" s="14"/>
      <c r="F63" s="14"/>
      <c r="G63" s="15"/>
    </row>
    <row r="64" customFormat="false" ht="15" hidden="false" customHeight="false" outlineLevel="0" collapsed="false">
      <c r="A64" s="20"/>
      <c r="B64" s="14"/>
      <c r="C64" s="14"/>
      <c r="D64" s="15"/>
      <c r="E64" s="14"/>
      <c r="F64" s="14"/>
      <c r="G64" s="15"/>
    </row>
    <row r="65" customFormat="false" ht="15" hidden="false" customHeight="false" outlineLevel="0" collapsed="false">
      <c r="A65" s="20"/>
      <c r="B65" s="14"/>
      <c r="C65" s="14"/>
      <c r="D65" s="15"/>
      <c r="E65" s="14"/>
      <c r="F65" s="14"/>
      <c r="G65" s="15"/>
    </row>
    <row r="66" customFormat="false" ht="15" hidden="false" customHeight="false" outlineLevel="0" collapsed="false">
      <c r="A66" s="20"/>
      <c r="B66" s="14"/>
      <c r="C66" s="14"/>
      <c r="D66" s="15"/>
      <c r="E66" s="14"/>
      <c r="F66" s="14"/>
      <c r="G66" s="15"/>
    </row>
    <row r="67" customFormat="false" ht="15" hidden="false" customHeight="false" outlineLevel="0" collapsed="false">
      <c r="A67" s="20"/>
      <c r="B67" s="14"/>
      <c r="C67" s="14"/>
      <c r="D67" s="15"/>
      <c r="E67" s="14"/>
      <c r="F67" s="14"/>
      <c r="G67" s="15"/>
    </row>
    <row r="68" customFormat="false" ht="15" hidden="false" customHeight="false" outlineLevel="0" collapsed="false">
      <c r="A68" s="20"/>
      <c r="B68" s="14"/>
      <c r="C68" s="14"/>
      <c r="D68" s="15"/>
      <c r="E68" s="14"/>
      <c r="F68" s="14"/>
      <c r="G68" s="15"/>
    </row>
    <row r="69" customFormat="false" ht="15" hidden="false" customHeight="false" outlineLevel="0" collapsed="false">
      <c r="A69" s="20"/>
      <c r="B69" s="14"/>
      <c r="C69" s="14"/>
      <c r="D69" s="15"/>
      <c r="E69" s="14"/>
      <c r="F69" s="14"/>
      <c r="G69" s="15"/>
    </row>
    <row r="70" customFormat="false" ht="15" hidden="false" customHeight="false" outlineLevel="0" collapsed="false">
      <c r="A70" s="20"/>
      <c r="B70" s="14"/>
      <c r="C70" s="14"/>
      <c r="D70" s="15"/>
      <c r="E70" s="14"/>
      <c r="F70" s="14"/>
      <c r="G70" s="15"/>
    </row>
    <row r="71" customFormat="false" ht="15" hidden="false" customHeight="false" outlineLevel="0" collapsed="false">
      <c r="A71" s="20"/>
      <c r="B71" s="14"/>
      <c r="C71" s="14"/>
      <c r="D71" s="15"/>
      <c r="E71" s="14"/>
      <c r="F71" s="14"/>
      <c r="G71" s="15"/>
    </row>
    <row r="72" customFormat="false" ht="15" hidden="false" customHeight="false" outlineLevel="0" collapsed="false">
      <c r="A72" s="20"/>
      <c r="B72" s="14"/>
      <c r="C72" s="14"/>
      <c r="D72" s="15"/>
      <c r="E72" s="14"/>
      <c r="F72" s="14"/>
      <c r="G72" s="15"/>
    </row>
    <row r="73" customFormat="false" ht="15" hidden="false" customHeight="false" outlineLevel="0" collapsed="false">
      <c r="A73" s="20"/>
      <c r="B73" s="14"/>
      <c r="C73" s="14"/>
      <c r="D73" s="15"/>
      <c r="E73" s="14"/>
      <c r="F73" s="14"/>
      <c r="G73" s="15"/>
    </row>
    <row r="74" customFormat="false" ht="15" hidden="false" customHeight="false" outlineLevel="0" collapsed="false">
      <c r="A74" s="20"/>
      <c r="B74" s="14"/>
      <c r="C74" s="14"/>
      <c r="D74" s="15"/>
      <c r="E74" s="14"/>
      <c r="F74" s="14"/>
      <c r="G74" s="15"/>
    </row>
    <row r="75" customFormat="false" ht="15" hidden="false" customHeight="false" outlineLevel="0" collapsed="false">
      <c r="A75" s="20"/>
      <c r="B75" s="14"/>
      <c r="C75" s="14"/>
      <c r="D75" s="15"/>
      <c r="E75" s="14"/>
      <c r="F75" s="14"/>
      <c r="G75" s="15"/>
    </row>
    <row r="76" customFormat="false" ht="15" hidden="false" customHeight="false" outlineLevel="0" collapsed="false">
      <c r="A76" s="20"/>
      <c r="B76" s="14"/>
      <c r="C76" s="14"/>
      <c r="D76" s="15"/>
      <c r="E76" s="14"/>
      <c r="F76" s="14"/>
      <c r="G76" s="15"/>
    </row>
    <row r="77" customFormat="false" ht="15" hidden="false" customHeight="false" outlineLevel="0" collapsed="false">
      <c r="A77" s="20"/>
      <c r="B77" s="14"/>
      <c r="C77" s="14"/>
      <c r="D77" s="15"/>
      <c r="E77" s="14"/>
      <c r="F77" s="14"/>
      <c r="G77" s="15"/>
    </row>
    <row r="78" customFormat="false" ht="15" hidden="false" customHeight="false" outlineLevel="0" collapsed="false">
      <c r="A78" s="20"/>
      <c r="B78" s="14"/>
      <c r="C78" s="14"/>
      <c r="D78" s="15"/>
      <c r="E78" s="14"/>
      <c r="F78" s="14"/>
      <c r="G78" s="15"/>
    </row>
    <row r="79" customFormat="false" ht="15" hidden="false" customHeight="false" outlineLevel="0" collapsed="false">
      <c r="A79" s="20"/>
      <c r="B79" s="14"/>
      <c r="C79" s="14"/>
      <c r="D79" s="15"/>
      <c r="E79" s="14"/>
      <c r="F79" s="14"/>
      <c r="G79" s="15"/>
    </row>
    <row r="80" customFormat="false" ht="15" hidden="false" customHeight="false" outlineLevel="0" collapsed="false">
      <c r="A80" s="20"/>
      <c r="B80" s="14"/>
      <c r="C80" s="14"/>
      <c r="D80" s="15"/>
      <c r="E80" s="14"/>
      <c r="F80" s="14"/>
      <c r="G80" s="15"/>
    </row>
    <row r="81" customFormat="false" ht="15" hidden="false" customHeight="false" outlineLevel="0" collapsed="false">
      <c r="A81" s="20"/>
      <c r="B81" s="14"/>
      <c r="C81" s="14"/>
      <c r="D81" s="15"/>
      <c r="E81" s="14"/>
      <c r="F81" s="14"/>
      <c r="G81" s="15"/>
    </row>
    <row r="82" customFormat="false" ht="15" hidden="false" customHeight="false" outlineLevel="0" collapsed="false">
      <c r="A82" s="20"/>
      <c r="B82" s="14"/>
      <c r="C82" s="14"/>
      <c r="D82" s="15"/>
      <c r="E82" s="14"/>
      <c r="F82" s="14"/>
      <c r="G82" s="15"/>
    </row>
    <row r="83" customFormat="false" ht="15" hidden="false" customHeight="false" outlineLevel="0" collapsed="false">
      <c r="A83" s="20"/>
      <c r="B83" s="14"/>
      <c r="C83" s="14"/>
      <c r="D83" s="15"/>
      <c r="E83" s="14"/>
      <c r="F83" s="14"/>
      <c r="G83" s="15"/>
    </row>
    <row r="84" customFormat="false" ht="15" hidden="false" customHeight="false" outlineLevel="0" collapsed="false">
      <c r="A84" s="20"/>
      <c r="B84" s="14"/>
      <c r="C84" s="14"/>
      <c r="D84" s="15"/>
      <c r="E84" s="14"/>
      <c r="F84" s="14"/>
      <c r="G84" s="15"/>
    </row>
    <row r="85" customFormat="false" ht="15" hidden="false" customHeight="false" outlineLevel="0" collapsed="false">
      <c r="A85" s="20"/>
      <c r="B85" s="14"/>
      <c r="C85" s="14"/>
      <c r="D85" s="15"/>
      <c r="E85" s="14"/>
      <c r="F85" s="14"/>
      <c r="G85" s="15"/>
    </row>
    <row r="86" customFormat="false" ht="15" hidden="false" customHeight="false" outlineLevel="0" collapsed="false">
      <c r="A86" s="20"/>
      <c r="B86" s="14"/>
      <c r="C86" s="14"/>
      <c r="D86" s="15"/>
      <c r="E86" s="14"/>
      <c r="F86" s="14"/>
      <c r="G86" s="15"/>
    </row>
    <row r="87" customFormat="false" ht="15" hidden="false" customHeight="false" outlineLevel="0" collapsed="false">
      <c r="A87" s="20"/>
      <c r="B87" s="14"/>
      <c r="C87" s="14"/>
      <c r="D87" s="15"/>
      <c r="E87" s="14"/>
      <c r="F87" s="14"/>
      <c r="G87" s="15"/>
    </row>
    <row r="88" customFormat="false" ht="15" hidden="false" customHeight="false" outlineLevel="0" collapsed="false">
      <c r="A88" s="20"/>
      <c r="B88" s="14"/>
      <c r="C88" s="14"/>
      <c r="D88" s="15"/>
      <c r="E88" s="14"/>
      <c r="F88" s="14"/>
      <c r="G88" s="15"/>
    </row>
    <row r="89" customFormat="false" ht="15" hidden="false" customHeight="false" outlineLevel="0" collapsed="false">
      <c r="A89" s="20"/>
      <c r="B89" s="14"/>
      <c r="C89" s="14"/>
      <c r="D89" s="15"/>
      <c r="E89" s="14"/>
      <c r="F89" s="14"/>
      <c r="G89" s="15"/>
    </row>
    <row r="90" customFormat="false" ht="15" hidden="false" customHeight="false" outlineLevel="0" collapsed="false">
      <c r="A90" s="20"/>
      <c r="B90" s="14"/>
      <c r="C90" s="14"/>
      <c r="D90" s="15"/>
      <c r="E90" s="14"/>
      <c r="F90" s="14"/>
      <c r="G90" s="15"/>
    </row>
    <row r="91" customFormat="false" ht="15" hidden="false" customHeight="false" outlineLevel="0" collapsed="false">
      <c r="A91" s="20"/>
      <c r="B91" s="14"/>
      <c r="C91" s="14"/>
      <c r="D91" s="15"/>
      <c r="E91" s="14"/>
      <c r="F91" s="14"/>
      <c r="G91" s="15"/>
    </row>
    <row r="92" customFormat="false" ht="15" hidden="false" customHeight="false" outlineLevel="0" collapsed="false">
      <c r="A92" s="20"/>
      <c r="B92" s="14"/>
      <c r="C92" s="14"/>
      <c r="D92" s="15"/>
      <c r="E92" s="14"/>
      <c r="F92" s="14"/>
      <c r="G92" s="15"/>
    </row>
    <row r="93" customFormat="false" ht="15" hidden="false" customHeight="false" outlineLevel="0" collapsed="false">
      <c r="A93" s="20"/>
      <c r="B93" s="14"/>
      <c r="C93" s="14"/>
      <c r="D93" s="15"/>
      <c r="E93" s="14"/>
      <c r="F93" s="14"/>
      <c r="G93" s="15"/>
    </row>
    <row r="94" customFormat="false" ht="15" hidden="false" customHeight="false" outlineLevel="0" collapsed="false">
      <c r="A94" s="20"/>
      <c r="B94" s="14"/>
      <c r="C94" s="14"/>
      <c r="D94" s="15"/>
      <c r="E94" s="14"/>
      <c r="F94" s="14"/>
      <c r="G94" s="15"/>
    </row>
    <row r="95" customFormat="false" ht="15" hidden="false" customHeight="false" outlineLevel="0" collapsed="false">
      <c r="A95" s="20"/>
      <c r="B95" s="14"/>
      <c r="C95" s="14"/>
      <c r="D95" s="15"/>
      <c r="E95" s="14"/>
      <c r="F95" s="14"/>
      <c r="G95" s="15"/>
    </row>
    <row r="96" customFormat="false" ht="15" hidden="false" customHeight="false" outlineLevel="0" collapsed="false">
      <c r="A96" s="20"/>
      <c r="B96" s="14"/>
      <c r="C96" s="14"/>
      <c r="D96" s="15"/>
      <c r="E96" s="14"/>
      <c r="F96" s="14"/>
      <c r="G96" s="15"/>
    </row>
    <row r="97" customFormat="false" ht="15" hidden="false" customHeight="false" outlineLevel="0" collapsed="false">
      <c r="A97" s="20"/>
      <c r="B97" s="14"/>
      <c r="C97" s="14"/>
      <c r="D97" s="15"/>
      <c r="E97" s="14"/>
      <c r="F97" s="14"/>
      <c r="G97" s="15"/>
    </row>
    <row r="98" customFormat="false" ht="15" hidden="false" customHeight="false" outlineLevel="0" collapsed="false">
      <c r="A98" s="20"/>
      <c r="B98" s="14"/>
      <c r="C98" s="14"/>
      <c r="D98" s="15"/>
      <c r="E98" s="14"/>
      <c r="F98" s="14"/>
      <c r="G98" s="15"/>
    </row>
    <row r="99" customFormat="false" ht="15" hidden="false" customHeight="false" outlineLevel="0" collapsed="false">
      <c r="A99" s="20"/>
      <c r="B99" s="14"/>
      <c r="C99" s="14"/>
      <c r="D99" s="15"/>
      <c r="E99" s="14"/>
      <c r="F99" s="14"/>
      <c r="G99" s="15"/>
    </row>
    <row r="100" customFormat="false" ht="15" hidden="false" customHeight="false" outlineLevel="0" collapsed="false">
      <c r="A100" s="20"/>
      <c r="B100" s="14"/>
      <c r="C100" s="14"/>
      <c r="D100" s="15"/>
      <c r="E100" s="14"/>
      <c r="F100" s="14"/>
      <c r="G100" s="15"/>
    </row>
    <row r="101" customFormat="false" ht="15" hidden="false" customHeight="false" outlineLevel="0" collapsed="false">
      <c r="A101" s="20"/>
      <c r="B101" s="14"/>
      <c r="C101" s="14"/>
      <c r="D101" s="15"/>
      <c r="E101" s="14"/>
      <c r="F101" s="14"/>
      <c r="G101" s="15"/>
    </row>
    <row r="102" customFormat="false" ht="15" hidden="false" customHeight="false" outlineLevel="0" collapsed="false">
      <c r="A102" s="20"/>
      <c r="B102" s="14"/>
      <c r="C102" s="14"/>
      <c r="D102" s="15"/>
      <c r="E102" s="14"/>
      <c r="F102" s="14"/>
      <c r="G102" s="15"/>
    </row>
    <row r="103" customFormat="false" ht="15" hidden="false" customHeight="false" outlineLevel="0" collapsed="false">
      <c r="A103" s="20"/>
      <c r="B103" s="14"/>
      <c r="C103" s="14"/>
      <c r="D103" s="15"/>
      <c r="E103" s="14"/>
      <c r="F103" s="14"/>
      <c r="G103" s="15"/>
    </row>
    <row r="104" customFormat="false" ht="15" hidden="false" customHeight="false" outlineLevel="0" collapsed="false">
      <c r="A104" s="20"/>
      <c r="B104" s="14"/>
      <c r="C104" s="14"/>
      <c r="D104" s="15"/>
      <c r="E104" s="14"/>
      <c r="F104" s="14"/>
      <c r="G104" s="15"/>
    </row>
    <row r="105" customFormat="false" ht="15" hidden="false" customHeight="false" outlineLevel="0" collapsed="false">
      <c r="A105" s="20"/>
      <c r="B105" s="14"/>
      <c r="C105" s="14"/>
      <c r="D105" s="15"/>
      <c r="E105" s="14"/>
      <c r="F105" s="14"/>
      <c r="G105" s="15"/>
    </row>
    <row r="106" customFormat="false" ht="15" hidden="false" customHeight="false" outlineLevel="0" collapsed="false">
      <c r="A106" s="20"/>
      <c r="B106" s="14"/>
      <c r="C106" s="14"/>
      <c r="D106" s="15"/>
      <c r="E106" s="14"/>
      <c r="F106" s="14"/>
      <c r="G106" s="15"/>
    </row>
    <row r="107" customFormat="false" ht="15" hidden="false" customHeight="false" outlineLevel="0" collapsed="false">
      <c r="A107" s="20"/>
      <c r="B107" s="14"/>
      <c r="C107" s="14"/>
      <c r="D107" s="15"/>
      <c r="E107" s="14"/>
      <c r="F107" s="14"/>
      <c r="G107" s="15"/>
    </row>
    <row r="108" customFormat="false" ht="15" hidden="false" customHeight="false" outlineLevel="0" collapsed="false">
      <c r="A108" s="20"/>
      <c r="B108" s="14"/>
      <c r="C108" s="14"/>
      <c r="D108" s="15"/>
      <c r="E108" s="14"/>
      <c r="F108" s="14"/>
      <c r="G108" s="15"/>
    </row>
    <row r="109" customFormat="false" ht="15" hidden="false" customHeight="false" outlineLevel="0" collapsed="false">
      <c r="A109" s="20"/>
      <c r="B109" s="14"/>
      <c r="C109" s="14"/>
      <c r="D109" s="15"/>
      <c r="E109" s="14"/>
      <c r="F109" s="14"/>
      <c r="G109" s="15"/>
    </row>
    <row r="110" customFormat="false" ht="15" hidden="false" customHeight="false" outlineLevel="0" collapsed="false">
      <c r="A110" s="20"/>
      <c r="B110" s="14"/>
      <c r="C110" s="14"/>
      <c r="D110" s="15"/>
      <c r="E110" s="14"/>
      <c r="F110" s="14"/>
      <c r="G110" s="15"/>
    </row>
    <row r="111" customFormat="false" ht="15" hidden="false" customHeight="false" outlineLevel="0" collapsed="false">
      <c r="A111" s="20"/>
      <c r="B111" s="14"/>
      <c r="C111" s="14"/>
      <c r="D111" s="15"/>
      <c r="E111" s="14"/>
      <c r="F111" s="14"/>
      <c r="G111" s="15"/>
    </row>
    <row r="112" customFormat="false" ht="15" hidden="false" customHeight="false" outlineLevel="0" collapsed="false">
      <c r="A112" s="20"/>
      <c r="B112" s="14"/>
      <c r="C112" s="14"/>
      <c r="D112" s="15"/>
      <c r="E112" s="14"/>
      <c r="F112" s="14"/>
      <c r="G112" s="15"/>
    </row>
    <row r="113" customFormat="false" ht="15" hidden="false" customHeight="false" outlineLevel="0" collapsed="false">
      <c r="A113" s="20"/>
      <c r="B113" s="14"/>
      <c r="C113" s="14"/>
      <c r="D113" s="15"/>
      <c r="E113" s="14"/>
      <c r="F113" s="14"/>
      <c r="G113" s="15"/>
    </row>
    <row r="114" customFormat="false" ht="15" hidden="false" customHeight="false" outlineLevel="0" collapsed="false">
      <c r="A114" s="20"/>
      <c r="B114" s="14"/>
      <c r="C114" s="14"/>
      <c r="D114" s="15"/>
      <c r="E114" s="14"/>
      <c r="F114" s="14"/>
      <c r="G114" s="15"/>
    </row>
    <row r="115" customFormat="false" ht="15" hidden="false" customHeight="false" outlineLevel="0" collapsed="false">
      <c r="A115" s="20"/>
      <c r="B115" s="14"/>
      <c r="C115" s="14"/>
      <c r="D115" s="15"/>
      <c r="E115" s="14"/>
      <c r="F115" s="14"/>
      <c r="G115" s="15"/>
    </row>
    <row r="116" customFormat="false" ht="15" hidden="false" customHeight="false" outlineLevel="0" collapsed="false">
      <c r="A116" s="20"/>
      <c r="B116" s="14"/>
      <c r="C116" s="14"/>
      <c r="D116" s="15"/>
      <c r="E116" s="14"/>
      <c r="F116" s="14"/>
      <c r="G116" s="15"/>
    </row>
    <row r="117" customFormat="false" ht="15" hidden="false" customHeight="false" outlineLevel="0" collapsed="false">
      <c r="A117" s="20"/>
      <c r="B117" s="14"/>
      <c r="C117" s="14"/>
      <c r="D117" s="15"/>
      <c r="E117" s="14"/>
      <c r="F117" s="14"/>
      <c r="G117" s="15"/>
    </row>
    <row r="118" customFormat="false" ht="15" hidden="false" customHeight="false" outlineLevel="0" collapsed="false">
      <c r="A118" s="20"/>
      <c r="B118" s="14"/>
      <c r="C118" s="14"/>
      <c r="D118" s="15"/>
      <c r="E118" s="14"/>
      <c r="F118" s="14"/>
      <c r="G118" s="15"/>
    </row>
    <row r="119" customFormat="false" ht="15" hidden="false" customHeight="false" outlineLevel="0" collapsed="false">
      <c r="A119" s="20"/>
      <c r="B119" s="14"/>
      <c r="C119" s="14"/>
      <c r="D119" s="15"/>
      <c r="E119" s="14"/>
      <c r="F119" s="14"/>
      <c r="G119" s="15"/>
    </row>
    <row r="120" customFormat="false" ht="15" hidden="false" customHeight="false" outlineLevel="0" collapsed="false">
      <c r="A120" s="20"/>
      <c r="B120" s="14"/>
      <c r="C120" s="14"/>
      <c r="D120" s="15"/>
      <c r="E120" s="14"/>
      <c r="F120" s="14"/>
      <c r="G120" s="15"/>
    </row>
    <row r="121" customFormat="false" ht="15" hidden="false" customHeight="false" outlineLevel="0" collapsed="false">
      <c r="A121" s="20"/>
      <c r="B121" s="14"/>
      <c r="C121" s="14"/>
      <c r="D121" s="15"/>
      <c r="E121" s="14"/>
      <c r="F121" s="14"/>
      <c r="G121" s="15"/>
    </row>
    <row r="122" customFormat="false" ht="15" hidden="false" customHeight="false" outlineLevel="0" collapsed="false">
      <c r="A122" s="20"/>
      <c r="B122" s="14"/>
      <c r="C122" s="14"/>
      <c r="D122" s="15"/>
      <c r="E122" s="14"/>
      <c r="F122" s="14"/>
      <c r="G122" s="15"/>
    </row>
    <row r="123" customFormat="false" ht="15" hidden="false" customHeight="false" outlineLevel="0" collapsed="false">
      <c r="A123" s="20"/>
      <c r="B123" s="14"/>
      <c r="C123" s="14"/>
      <c r="D123" s="15"/>
      <c r="E123" s="14"/>
      <c r="F123" s="14"/>
      <c r="G123" s="15"/>
    </row>
    <row r="124" customFormat="false" ht="15" hidden="false" customHeight="false" outlineLevel="0" collapsed="false">
      <c r="A124" s="20"/>
      <c r="B124" s="14"/>
      <c r="C124" s="14"/>
      <c r="D124" s="15"/>
      <c r="E124" s="14"/>
      <c r="F124" s="14"/>
      <c r="G124" s="15"/>
    </row>
    <row r="125" customFormat="false" ht="15" hidden="false" customHeight="false" outlineLevel="0" collapsed="false">
      <c r="A125" s="20"/>
      <c r="B125" s="14"/>
      <c r="C125" s="14"/>
      <c r="D125" s="15"/>
      <c r="E125" s="14"/>
      <c r="F125" s="14"/>
      <c r="G125" s="15"/>
    </row>
    <row r="126" customFormat="false" ht="15" hidden="false" customHeight="false" outlineLevel="0" collapsed="false">
      <c r="A126" s="20"/>
      <c r="B126" s="14"/>
      <c r="C126" s="14"/>
      <c r="D126" s="15"/>
      <c r="E126" s="14"/>
      <c r="F126" s="14"/>
      <c r="G126" s="15"/>
    </row>
    <row r="127" customFormat="false" ht="15" hidden="false" customHeight="false" outlineLevel="0" collapsed="false">
      <c r="A127" s="20"/>
      <c r="B127" s="14"/>
      <c r="C127" s="14"/>
      <c r="D127" s="15"/>
      <c r="E127" s="14"/>
      <c r="F127" s="14"/>
      <c r="G127" s="15"/>
    </row>
    <row r="128" customFormat="false" ht="15" hidden="false" customHeight="false" outlineLevel="0" collapsed="false">
      <c r="A128" s="20"/>
      <c r="B128" s="14"/>
      <c r="C128" s="14"/>
      <c r="D128" s="15"/>
      <c r="E128" s="14"/>
      <c r="F128" s="14"/>
      <c r="G128" s="15"/>
    </row>
    <row r="129" customFormat="false" ht="15" hidden="false" customHeight="false" outlineLevel="0" collapsed="false">
      <c r="A129" s="20"/>
      <c r="B129" s="14"/>
      <c r="C129" s="14"/>
      <c r="D129" s="15"/>
      <c r="E129" s="14"/>
      <c r="F129" s="14"/>
      <c r="G129" s="15"/>
    </row>
    <row r="130" customFormat="false" ht="15" hidden="false" customHeight="false" outlineLevel="0" collapsed="false">
      <c r="A130" s="20"/>
      <c r="B130" s="14"/>
      <c r="C130" s="14"/>
      <c r="D130" s="15"/>
      <c r="E130" s="14"/>
      <c r="F130" s="14"/>
      <c r="G130" s="15"/>
    </row>
    <row r="131" customFormat="false" ht="15" hidden="false" customHeight="false" outlineLevel="0" collapsed="false">
      <c r="A131" s="20"/>
      <c r="B131" s="14"/>
      <c r="C131" s="14"/>
      <c r="D131" s="15"/>
      <c r="E131" s="14"/>
      <c r="F131" s="14"/>
      <c r="G131" s="15"/>
    </row>
    <row r="132" customFormat="false" ht="15" hidden="false" customHeight="false" outlineLevel="0" collapsed="false">
      <c r="A132" s="20"/>
      <c r="B132" s="14"/>
      <c r="C132" s="14"/>
      <c r="D132" s="15"/>
      <c r="E132" s="14"/>
      <c r="F132" s="14"/>
      <c r="G132" s="15"/>
    </row>
    <row r="133" customFormat="false" ht="15" hidden="false" customHeight="false" outlineLevel="0" collapsed="false">
      <c r="A133" s="20"/>
      <c r="B133" s="14"/>
      <c r="C133" s="14"/>
      <c r="D133" s="15"/>
      <c r="E133" s="14"/>
      <c r="F133" s="14"/>
      <c r="G133" s="15"/>
    </row>
    <row r="134" customFormat="false" ht="15" hidden="false" customHeight="false" outlineLevel="0" collapsed="false">
      <c r="A134" s="20"/>
      <c r="B134" s="14"/>
      <c r="C134" s="14"/>
      <c r="D134" s="15"/>
      <c r="E134" s="14"/>
      <c r="F134" s="14"/>
      <c r="G134" s="15"/>
    </row>
    <row r="135" customFormat="false" ht="15" hidden="false" customHeight="false" outlineLevel="0" collapsed="false">
      <c r="A135" s="20"/>
      <c r="B135" s="14"/>
      <c r="C135" s="14"/>
      <c r="D135" s="15"/>
      <c r="E135" s="14"/>
      <c r="F135" s="14"/>
      <c r="G135" s="15"/>
    </row>
    <row r="136" customFormat="false" ht="15" hidden="false" customHeight="false" outlineLevel="0" collapsed="false">
      <c r="A136" s="20"/>
      <c r="B136" s="14"/>
      <c r="C136" s="14"/>
      <c r="D136" s="15"/>
      <c r="E136" s="14"/>
      <c r="F136" s="14"/>
      <c r="G136" s="15"/>
    </row>
    <row r="137" customFormat="false" ht="15" hidden="false" customHeight="false" outlineLevel="0" collapsed="false">
      <c r="A137" s="20"/>
      <c r="B137" s="14"/>
      <c r="C137" s="14"/>
      <c r="D137" s="15"/>
      <c r="E137" s="14"/>
      <c r="F137" s="14"/>
      <c r="G137" s="15"/>
    </row>
    <row r="138" customFormat="false" ht="15" hidden="false" customHeight="false" outlineLevel="0" collapsed="false">
      <c r="A138" s="20"/>
      <c r="B138" s="14"/>
      <c r="C138" s="14"/>
      <c r="D138" s="15"/>
      <c r="E138" s="14"/>
      <c r="F138" s="14"/>
      <c r="G138" s="15"/>
    </row>
    <row r="139" customFormat="false" ht="15" hidden="false" customHeight="false" outlineLevel="0" collapsed="false">
      <c r="A139" s="20"/>
      <c r="B139" s="14"/>
      <c r="C139" s="14"/>
      <c r="D139" s="15"/>
      <c r="E139" s="14"/>
      <c r="F139" s="14"/>
      <c r="G139" s="15"/>
    </row>
    <row r="140" customFormat="false" ht="15" hidden="false" customHeight="false" outlineLevel="0" collapsed="false">
      <c r="A140" s="20"/>
      <c r="B140" s="14"/>
      <c r="C140" s="14"/>
      <c r="D140" s="15"/>
      <c r="E140" s="14"/>
      <c r="F140" s="14"/>
      <c r="G140" s="15"/>
    </row>
    <row r="141" customFormat="false" ht="15" hidden="false" customHeight="false" outlineLevel="0" collapsed="false">
      <c r="A141" s="20"/>
      <c r="B141" s="14"/>
      <c r="C141" s="14"/>
      <c r="D141" s="15"/>
      <c r="E141" s="14"/>
      <c r="F141" s="14"/>
      <c r="G141" s="15"/>
    </row>
    <row r="142" customFormat="false" ht="15" hidden="false" customHeight="false" outlineLevel="0" collapsed="false">
      <c r="A142" s="20"/>
      <c r="B142" s="14"/>
      <c r="C142" s="14"/>
      <c r="D142" s="15"/>
      <c r="E142" s="14"/>
      <c r="F142" s="14"/>
      <c r="G142" s="15"/>
    </row>
    <row r="143" customFormat="false" ht="15" hidden="false" customHeight="false" outlineLevel="0" collapsed="false">
      <c r="A143" s="20"/>
      <c r="B143" s="14"/>
      <c r="C143" s="14"/>
      <c r="D143" s="15"/>
      <c r="E143" s="14"/>
      <c r="F143" s="14"/>
      <c r="G143" s="15"/>
    </row>
    <row r="144" customFormat="false" ht="15" hidden="false" customHeight="false" outlineLevel="0" collapsed="false">
      <c r="A144" s="20"/>
      <c r="B144" s="14"/>
      <c r="C144" s="14"/>
      <c r="D144" s="15"/>
      <c r="E144" s="14"/>
      <c r="F144" s="14"/>
      <c r="G144" s="15"/>
    </row>
    <row r="145" customFormat="false" ht="15" hidden="false" customHeight="false" outlineLevel="0" collapsed="false">
      <c r="A145" s="20"/>
      <c r="B145" s="14"/>
      <c r="C145" s="14"/>
      <c r="D145" s="15"/>
      <c r="E145" s="14"/>
      <c r="F145" s="14"/>
      <c r="G145" s="15"/>
    </row>
    <row r="146" customFormat="false" ht="15" hidden="false" customHeight="false" outlineLevel="0" collapsed="false">
      <c r="A146" s="20"/>
      <c r="B146" s="14"/>
      <c r="C146" s="14"/>
      <c r="D146" s="15"/>
      <c r="E146" s="14"/>
      <c r="F146" s="14"/>
      <c r="G146" s="15"/>
    </row>
    <row r="147" customFormat="false" ht="15" hidden="false" customHeight="false" outlineLevel="0" collapsed="false">
      <c r="A147" s="20"/>
      <c r="B147" s="14"/>
      <c r="C147" s="14"/>
      <c r="D147" s="15"/>
      <c r="E147" s="14"/>
      <c r="F147" s="14"/>
      <c r="G147" s="15"/>
    </row>
    <row r="148" customFormat="false" ht="15" hidden="false" customHeight="false" outlineLevel="0" collapsed="false">
      <c r="A148" s="20"/>
      <c r="B148" s="14"/>
      <c r="C148" s="14"/>
      <c r="D148" s="15"/>
      <c r="E148" s="14"/>
      <c r="F148" s="14"/>
      <c r="G148" s="15"/>
    </row>
    <row r="149" customFormat="false" ht="15" hidden="false" customHeight="false" outlineLevel="0" collapsed="false">
      <c r="A149" s="20"/>
      <c r="B149" s="14"/>
      <c r="C149" s="14"/>
      <c r="D149" s="15"/>
      <c r="E149" s="14"/>
      <c r="F149" s="14"/>
      <c r="G149" s="15"/>
    </row>
    <row r="150" customFormat="false" ht="15" hidden="false" customHeight="false" outlineLevel="0" collapsed="false">
      <c r="A150" s="20"/>
      <c r="B150" s="14"/>
      <c r="C150" s="14"/>
      <c r="D150" s="15"/>
      <c r="E150" s="14"/>
      <c r="F150" s="14"/>
      <c r="G150" s="15"/>
    </row>
    <row r="151" customFormat="false" ht="15" hidden="false" customHeight="false" outlineLevel="0" collapsed="false">
      <c r="A151" s="20"/>
      <c r="B151" s="14"/>
      <c r="C151" s="14"/>
      <c r="D151" s="15"/>
      <c r="E151" s="14"/>
      <c r="F151" s="14"/>
      <c r="G151" s="15"/>
    </row>
    <row r="152" customFormat="false" ht="15" hidden="false" customHeight="false" outlineLevel="0" collapsed="false">
      <c r="A152" s="20"/>
      <c r="B152" s="14"/>
      <c r="C152" s="14"/>
      <c r="D152" s="15"/>
      <c r="E152" s="14"/>
      <c r="F152" s="14"/>
      <c r="G152" s="15"/>
    </row>
    <row r="153" customFormat="false" ht="15" hidden="false" customHeight="false" outlineLevel="0" collapsed="false">
      <c r="A153" s="20"/>
      <c r="B153" s="14"/>
      <c r="C153" s="14"/>
      <c r="D153" s="15"/>
      <c r="E153" s="14"/>
      <c r="F153" s="14"/>
      <c r="G153" s="15"/>
    </row>
    <row r="154" customFormat="false" ht="15" hidden="false" customHeight="false" outlineLevel="0" collapsed="false">
      <c r="A154" s="20"/>
      <c r="B154" s="14"/>
      <c r="C154" s="14"/>
      <c r="D154" s="15"/>
      <c r="E154" s="14"/>
      <c r="F154" s="14"/>
      <c r="G154" s="15"/>
    </row>
    <row r="155" customFormat="false" ht="15" hidden="false" customHeight="false" outlineLevel="0" collapsed="false">
      <c r="A155" s="20"/>
      <c r="B155" s="14"/>
      <c r="C155" s="14"/>
      <c r="D155" s="15"/>
      <c r="E155" s="14"/>
      <c r="F155" s="14"/>
      <c r="G155" s="15"/>
    </row>
    <row r="156" customFormat="false" ht="15" hidden="false" customHeight="false" outlineLevel="0" collapsed="false">
      <c r="A156" s="20"/>
      <c r="B156" s="14"/>
      <c r="C156" s="14"/>
      <c r="D156" s="15"/>
      <c r="E156" s="14"/>
      <c r="F156" s="14"/>
      <c r="G156" s="15"/>
    </row>
    <row r="157" customFormat="false" ht="15" hidden="false" customHeight="false" outlineLevel="0" collapsed="false">
      <c r="A157" s="20"/>
      <c r="B157" s="14"/>
      <c r="C157" s="14"/>
      <c r="D157" s="15"/>
      <c r="E157" s="14"/>
      <c r="F157" s="14"/>
      <c r="G157" s="15"/>
    </row>
    <row r="158" customFormat="false" ht="15" hidden="false" customHeight="false" outlineLevel="0" collapsed="false">
      <c r="A158" s="20"/>
      <c r="B158" s="14"/>
      <c r="C158" s="14"/>
      <c r="D158" s="15"/>
      <c r="E158" s="14"/>
      <c r="F158" s="14"/>
      <c r="G158" s="15"/>
    </row>
    <row r="159" customFormat="false" ht="15" hidden="false" customHeight="false" outlineLevel="0" collapsed="false">
      <c r="A159" s="20"/>
      <c r="B159" s="14"/>
      <c r="C159" s="14"/>
      <c r="D159" s="15"/>
      <c r="E159" s="14"/>
      <c r="F159" s="14"/>
      <c r="G159" s="15"/>
    </row>
    <row r="160" customFormat="false" ht="15" hidden="false" customHeight="false" outlineLevel="0" collapsed="false">
      <c r="A160" s="20"/>
      <c r="B160" s="14"/>
      <c r="C160" s="14"/>
      <c r="D160" s="15"/>
      <c r="E160" s="14"/>
      <c r="F160" s="14"/>
      <c r="G160" s="15"/>
    </row>
    <row r="161" customFormat="false" ht="15" hidden="false" customHeight="false" outlineLevel="0" collapsed="false">
      <c r="A161" s="20"/>
      <c r="B161" s="14"/>
      <c r="C161" s="14"/>
      <c r="D161" s="15"/>
      <c r="E161" s="14"/>
      <c r="F161" s="14"/>
      <c r="G161" s="15"/>
    </row>
    <row r="162" customFormat="false" ht="15" hidden="false" customHeight="false" outlineLevel="0" collapsed="false">
      <c r="A162" s="20"/>
      <c r="B162" s="14"/>
      <c r="C162" s="14"/>
      <c r="D162" s="15"/>
      <c r="E162" s="14"/>
      <c r="F162" s="14"/>
      <c r="G162" s="15"/>
    </row>
    <row r="163" customFormat="false" ht="15" hidden="false" customHeight="false" outlineLevel="0" collapsed="false">
      <c r="A163" s="20"/>
      <c r="B163" s="14"/>
      <c r="C163" s="14"/>
      <c r="D163" s="15"/>
      <c r="E163" s="14"/>
      <c r="F163" s="14"/>
      <c r="G163" s="15"/>
    </row>
    <row r="164" customFormat="false" ht="15" hidden="false" customHeight="false" outlineLevel="0" collapsed="false">
      <c r="A164" s="20"/>
      <c r="B164" s="14"/>
      <c r="C164" s="14"/>
      <c r="D164" s="15"/>
      <c r="E164" s="14"/>
      <c r="F164" s="14"/>
      <c r="G164" s="15"/>
    </row>
    <row r="165" customFormat="false" ht="15" hidden="false" customHeight="false" outlineLevel="0" collapsed="false">
      <c r="A165" s="20"/>
      <c r="B165" s="14"/>
      <c r="C165" s="14"/>
      <c r="D165" s="15"/>
      <c r="E165" s="14"/>
      <c r="F165" s="14"/>
      <c r="G165" s="15"/>
    </row>
    <row r="166" customFormat="false" ht="15" hidden="false" customHeight="false" outlineLevel="0" collapsed="false">
      <c r="A166" s="20"/>
      <c r="B166" s="14"/>
      <c r="C166" s="14"/>
      <c r="D166" s="15"/>
      <c r="E166" s="14"/>
      <c r="F166" s="14"/>
      <c r="G166" s="15"/>
    </row>
    <row r="167" customFormat="false" ht="15" hidden="false" customHeight="false" outlineLevel="0" collapsed="false">
      <c r="A167" s="20"/>
      <c r="B167" s="14"/>
      <c r="C167" s="14"/>
      <c r="D167" s="15"/>
      <c r="E167" s="14"/>
      <c r="F167" s="14"/>
      <c r="G167" s="15"/>
    </row>
    <row r="168" customFormat="false" ht="15" hidden="false" customHeight="false" outlineLevel="0" collapsed="false">
      <c r="A168" s="20"/>
      <c r="B168" s="14"/>
      <c r="C168" s="14"/>
      <c r="D168" s="15"/>
      <c r="E168" s="14"/>
      <c r="F168" s="14"/>
      <c r="G168" s="15"/>
    </row>
    <row r="169" customFormat="false" ht="15" hidden="false" customHeight="false" outlineLevel="0" collapsed="false">
      <c r="A169" s="20"/>
      <c r="B169" s="14"/>
      <c r="C169" s="14"/>
      <c r="D169" s="15"/>
      <c r="E169" s="14"/>
      <c r="F169" s="14"/>
      <c r="G169" s="15"/>
    </row>
    <row r="170" customFormat="false" ht="15" hidden="false" customHeight="false" outlineLevel="0" collapsed="false">
      <c r="A170" s="20"/>
      <c r="B170" s="14"/>
      <c r="C170" s="14"/>
      <c r="D170" s="15"/>
      <c r="E170" s="14"/>
      <c r="F170" s="14"/>
      <c r="G170" s="15"/>
    </row>
    <row r="171" customFormat="false" ht="15" hidden="false" customHeight="false" outlineLevel="0" collapsed="false">
      <c r="A171" s="20"/>
      <c r="B171" s="14"/>
      <c r="C171" s="14"/>
      <c r="D171" s="15"/>
      <c r="E171" s="14"/>
      <c r="F171" s="14"/>
      <c r="G171" s="15"/>
    </row>
    <row r="172" customFormat="false" ht="15" hidden="false" customHeight="false" outlineLevel="0" collapsed="false">
      <c r="A172" s="20"/>
      <c r="B172" s="14"/>
      <c r="C172" s="14"/>
      <c r="D172" s="15"/>
      <c r="E172" s="14"/>
      <c r="F172" s="14"/>
      <c r="G172" s="15"/>
    </row>
    <row r="173" customFormat="false" ht="15" hidden="false" customHeight="false" outlineLevel="0" collapsed="false">
      <c r="A173" s="20"/>
      <c r="B173" s="14"/>
      <c r="C173" s="14"/>
      <c r="D173" s="15"/>
      <c r="E173" s="14"/>
      <c r="F173" s="14"/>
      <c r="G173" s="15"/>
    </row>
    <row r="174" customFormat="false" ht="15" hidden="false" customHeight="false" outlineLevel="0" collapsed="false">
      <c r="A174" s="20"/>
      <c r="B174" s="14"/>
      <c r="C174" s="14"/>
      <c r="D174" s="15"/>
      <c r="E174" s="14"/>
      <c r="F174" s="14"/>
      <c r="G174" s="15"/>
    </row>
    <row r="175" customFormat="false" ht="15" hidden="false" customHeight="false" outlineLevel="0" collapsed="false">
      <c r="A175" s="20"/>
      <c r="B175" s="14"/>
      <c r="C175" s="14"/>
      <c r="D175" s="15"/>
      <c r="E175" s="14"/>
      <c r="F175" s="14"/>
      <c r="G175" s="15"/>
    </row>
    <row r="176" customFormat="false" ht="15" hidden="false" customHeight="false" outlineLevel="0" collapsed="false">
      <c r="A176" s="20"/>
      <c r="B176" s="14"/>
      <c r="C176" s="14"/>
      <c r="D176" s="15"/>
      <c r="E176" s="14"/>
      <c r="F176" s="14"/>
      <c r="G176" s="15"/>
    </row>
    <row r="177" customFormat="false" ht="15" hidden="false" customHeight="false" outlineLevel="0" collapsed="false">
      <c r="A177" s="20"/>
      <c r="B177" s="14"/>
      <c r="C177" s="14"/>
      <c r="D177" s="15"/>
      <c r="E177" s="14"/>
      <c r="F177" s="14"/>
      <c r="G177" s="15"/>
    </row>
    <row r="178" customFormat="false" ht="15" hidden="false" customHeight="false" outlineLevel="0" collapsed="false">
      <c r="A178" s="20"/>
      <c r="B178" s="14"/>
      <c r="C178" s="14"/>
      <c r="D178" s="15"/>
      <c r="E178" s="14"/>
      <c r="F178" s="14"/>
      <c r="G178" s="15"/>
    </row>
    <row r="179" customFormat="false" ht="15" hidden="false" customHeight="false" outlineLevel="0" collapsed="false">
      <c r="A179" s="20"/>
      <c r="B179" s="14"/>
      <c r="C179" s="14"/>
      <c r="D179" s="15"/>
      <c r="E179" s="14"/>
      <c r="F179" s="14"/>
      <c r="G179" s="15"/>
    </row>
    <row r="180" customFormat="false" ht="15" hidden="false" customHeight="false" outlineLevel="0" collapsed="false">
      <c r="A180" s="20"/>
      <c r="B180" s="14"/>
      <c r="C180" s="14"/>
      <c r="D180" s="15"/>
      <c r="E180" s="14"/>
      <c r="F180" s="14"/>
      <c r="G180" s="15"/>
    </row>
    <row r="181" customFormat="false" ht="15" hidden="false" customHeight="false" outlineLevel="0" collapsed="false">
      <c r="A181" s="20"/>
      <c r="B181" s="14"/>
      <c r="C181" s="14"/>
      <c r="D181" s="15"/>
      <c r="E181" s="14"/>
      <c r="F181" s="14"/>
      <c r="G181" s="15"/>
    </row>
    <row r="182" customFormat="false" ht="15" hidden="false" customHeight="false" outlineLevel="0" collapsed="false">
      <c r="A182" s="20"/>
      <c r="B182" s="14"/>
      <c r="C182" s="14"/>
      <c r="D182" s="15"/>
      <c r="E182" s="14"/>
      <c r="F182" s="14"/>
      <c r="G182" s="15"/>
    </row>
    <row r="183" customFormat="false" ht="15" hidden="false" customHeight="false" outlineLevel="0" collapsed="false">
      <c r="A183" s="20"/>
      <c r="B183" s="14"/>
      <c r="C183" s="14"/>
      <c r="D183" s="15"/>
      <c r="E183" s="14"/>
      <c r="F183" s="14"/>
      <c r="G183" s="15"/>
    </row>
    <row r="184" customFormat="false" ht="15" hidden="false" customHeight="false" outlineLevel="0" collapsed="false">
      <c r="A184" s="20"/>
      <c r="B184" s="14"/>
      <c r="C184" s="14"/>
      <c r="D184" s="15"/>
      <c r="E184" s="14"/>
      <c r="F184" s="14"/>
      <c r="G184" s="15"/>
    </row>
    <row r="185" customFormat="false" ht="15" hidden="false" customHeight="false" outlineLevel="0" collapsed="false">
      <c r="A185" s="20"/>
      <c r="B185" s="14"/>
      <c r="C185" s="14"/>
      <c r="D185" s="15"/>
      <c r="E185" s="14"/>
      <c r="F185" s="14"/>
      <c r="G185" s="15"/>
    </row>
    <row r="186" customFormat="false" ht="15" hidden="false" customHeight="false" outlineLevel="0" collapsed="false">
      <c r="A186" s="20"/>
      <c r="B186" s="14"/>
      <c r="C186" s="14"/>
      <c r="D186" s="15"/>
      <c r="E186" s="14"/>
      <c r="F186" s="14"/>
      <c r="G186" s="15"/>
    </row>
    <row r="187" customFormat="false" ht="15" hidden="false" customHeight="false" outlineLevel="0" collapsed="false">
      <c r="A187" s="20"/>
      <c r="B187" s="14"/>
      <c r="C187" s="14"/>
      <c r="D187" s="15"/>
      <c r="E187" s="14"/>
      <c r="F187" s="14"/>
      <c r="G187" s="15"/>
    </row>
    <row r="188" customFormat="false" ht="15" hidden="false" customHeight="false" outlineLevel="0" collapsed="false">
      <c r="A188" s="20"/>
      <c r="B188" s="14"/>
      <c r="C188" s="14"/>
      <c r="D188" s="15"/>
      <c r="E188" s="14"/>
      <c r="F188" s="14"/>
      <c r="G188" s="15"/>
    </row>
    <row r="189" customFormat="false" ht="15" hidden="false" customHeight="false" outlineLevel="0" collapsed="false">
      <c r="A189" s="20"/>
      <c r="B189" s="14"/>
      <c r="C189" s="14"/>
      <c r="D189" s="15"/>
      <c r="E189" s="14"/>
      <c r="F189" s="14"/>
      <c r="G189" s="15"/>
    </row>
    <row r="190" customFormat="false" ht="15" hidden="false" customHeight="false" outlineLevel="0" collapsed="false">
      <c r="A190" s="20"/>
      <c r="B190" s="14"/>
      <c r="C190" s="14"/>
      <c r="D190" s="15"/>
      <c r="E190" s="14"/>
      <c r="F190" s="14"/>
      <c r="G190" s="15"/>
    </row>
    <row r="191" customFormat="false" ht="15" hidden="false" customHeight="false" outlineLevel="0" collapsed="false">
      <c r="A191" s="20"/>
      <c r="B191" s="14"/>
      <c r="C191" s="14"/>
      <c r="D191" s="15"/>
      <c r="E191" s="14"/>
      <c r="F191" s="14"/>
      <c r="G191" s="15"/>
    </row>
    <row r="192" customFormat="false" ht="15" hidden="false" customHeight="false" outlineLevel="0" collapsed="false">
      <c r="A192" s="20"/>
      <c r="B192" s="14"/>
      <c r="C192" s="14"/>
      <c r="D192" s="15"/>
      <c r="E192" s="14"/>
      <c r="F192" s="14"/>
      <c r="G192" s="15"/>
    </row>
    <row r="193" customFormat="false" ht="15" hidden="false" customHeight="false" outlineLevel="0" collapsed="false">
      <c r="A193" s="20"/>
      <c r="B193" s="14"/>
      <c r="C193" s="14"/>
      <c r="D193" s="15"/>
      <c r="E193" s="14"/>
      <c r="F193" s="14"/>
      <c r="G193" s="15"/>
    </row>
    <row r="194" customFormat="false" ht="15" hidden="false" customHeight="false" outlineLevel="0" collapsed="false">
      <c r="A194" s="20"/>
      <c r="B194" s="14"/>
      <c r="C194" s="14"/>
      <c r="D194" s="15"/>
      <c r="E194" s="14"/>
      <c r="F194" s="14"/>
      <c r="G194" s="15"/>
    </row>
    <row r="195" customFormat="false" ht="15" hidden="false" customHeight="false" outlineLevel="0" collapsed="false">
      <c r="A195" s="20"/>
      <c r="B195" s="14"/>
      <c r="C195" s="14"/>
      <c r="D195" s="15"/>
      <c r="E195" s="14"/>
      <c r="F195" s="14"/>
      <c r="G195" s="15"/>
    </row>
    <row r="196" customFormat="false" ht="15" hidden="false" customHeight="false" outlineLevel="0" collapsed="false">
      <c r="A196" s="20"/>
      <c r="B196" s="14"/>
      <c r="C196" s="14"/>
      <c r="D196" s="15"/>
      <c r="E196" s="14"/>
      <c r="F196" s="14"/>
      <c r="G196" s="15"/>
    </row>
    <row r="197" customFormat="false" ht="15" hidden="false" customHeight="false" outlineLevel="0" collapsed="false">
      <c r="A197" s="20"/>
      <c r="B197" s="14"/>
      <c r="C197" s="14"/>
      <c r="D197" s="15"/>
      <c r="E197" s="14"/>
      <c r="F197" s="14"/>
      <c r="G197" s="15"/>
    </row>
    <row r="198" customFormat="false" ht="15" hidden="false" customHeight="false" outlineLevel="0" collapsed="false">
      <c r="A198" s="20"/>
      <c r="B198" s="14"/>
      <c r="C198" s="14"/>
      <c r="D198" s="15"/>
      <c r="E198" s="14"/>
      <c r="F198" s="14"/>
      <c r="G198" s="15"/>
    </row>
    <row r="199" customFormat="false" ht="15" hidden="false" customHeight="false" outlineLevel="0" collapsed="false">
      <c r="A199" s="20"/>
      <c r="B199" s="14"/>
      <c r="C199" s="14"/>
      <c r="D199" s="15"/>
      <c r="E199" s="14"/>
      <c r="F199" s="14"/>
      <c r="G199" s="15"/>
    </row>
    <row r="200" customFormat="false" ht="15" hidden="false" customHeight="false" outlineLevel="0" collapsed="false">
      <c r="A200" s="20"/>
      <c r="B200" s="14"/>
      <c r="C200" s="14"/>
      <c r="D200" s="15"/>
      <c r="E200" s="14"/>
      <c r="F200" s="14"/>
      <c r="G200" s="15"/>
    </row>
    <row r="201" customFormat="false" ht="15" hidden="false" customHeight="false" outlineLevel="0" collapsed="false">
      <c r="A201" s="20"/>
      <c r="B201" s="14"/>
      <c r="C201" s="14"/>
      <c r="D201" s="15"/>
      <c r="E201" s="14"/>
      <c r="F201" s="14"/>
      <c r="G201" s="15"/>
    </row>
    <row r="202" customFormat="false" ht="15" hidden="false" customHeight="false" outlineLevel="0" collapsed="false">
      <c r="A202" s="20"/>
      <c r="B202" s="14"/>
      <c r="C202" s="14"/>
      <c r="D202" s="15"/>
      <c r="E202" s="14"/>
      <c r="F202" s="14"/>
      <c r="G202" s="15"/>
    </row>
    <row r="203" customFormat="false" ht="15" hidden="false" customHeight="false" outlineLevel="0" collapsed="false">
      <c r="A203" s="20"/>
      <c r="B203" s="14"/>
      <c r="C203" s="14"/>
      <c r="D203" s="15"/>
      <c r="E203" s="14"/>
      <c r="F203" s="14"/>
      <c r="G203" s="15"/>
    </row>
    <row r="204" customFormat="false" ht="15" hidden="false" customHeight="false" outlineLevel="0" collapsed="false">
      <c r="A204" s="20"/>
      <c r="B204" s="14"/>
      <c r="C204" s="14"/>
      <c r="D204" s="15"/>
      <c r="E204" s="14"/>
      <c r="F204" s="14"/>
      <c r="G204" s="15"/>
    </row>
    <row r="205" customFormat="false" ht="15" hidden="false" customHeight="false" outlineLevel="0" collapsed="false">
      <c r="A205" s="20"/>
      <c r="B205" s="14"/>
      <c r="C205" s="14"/>
      <c r="D205" s="15"/>
      <c r="E205" s="14"/>
      <c r="F205" s="14"/>
      <c r="G205" s="15"/>
    </row>
  </sheetData>
  <autoFilter ref="A4:G205"/>
  <dataValidations count="2">
    <dataValidation allowBlank="true" errorStyle="stop" operator="between" showDropDown="false" showErrorMessage="false" showInputMessage="false" sqref="B5:B205" type="list">
      <formula1>"Before a patch,Before adding mods,Before a big story event,Scheduled"</formula1>
      <formula2>0</formula2>
    </dataValidation>
    <dataValidation allowBlank="true" errorStyle="stop" operator="between" showDropDown="false" showErrorMessage="true" showInputMessage="false" sqref="E5:E205" type="list">
      <formula1>"Saves,Mods,Saves and Mods"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655E"/>
    <pageSetUpPr fitToPage="tru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9.7" hidden="false" customHeight="false" outlineLevel="0" collapsed="false">
      <c r="A1" s="1" t="s">
        <v>203</v>
      </c>
    </row>
    <row r="2" customFormat="false" ht="15" hidden="false" customHeight="false" outlineLevel="0" collapsed="false">
      <c r="A2" s="2" t="s">
        <v>204</v>
      </c>
    </row>
    <row r="4" customFormat="false" ht="15" hidden="false" customHeight="false" outlineLevel="0" collapsed="false">
      <c r="A4" s="27" t="s">
        <v>205</v>
      </c>
      <c r="B4" s="15" t="s">
        <v>206</v>
      </c>
    </row>
    <row r="5" customFormat="false" ht="15" hidden="false" customHeight="false" outlineLevel="0" collapsed="false">
      <c r="A5" s="27" t="s">
        <v>52</v>
      </c>
      <c r="B5" s="15" t="s">
        <v>207</v>
      </c>
    </row>
    <row r="6" customFormat="false" ht="15" hidden="false" customHeight="false" outlineLevel="0" collapsed="false">
      <c r="A6" s="27" t="s">
        <v>208</v>
      </c>
      <c r="B6" s="28" t="s">
        <v>209</v>
      </c>
    </row>
    <row r="7" customFormat="false" ht="15" hidden="false" customHeight="false" outlineLevel="0" collapsed="false">
      <c r="A7" s="27" t="s">
        <v>210</v>
      </c>
      <c r="B7" s="29" t="n">
        <v>46215</v>
      </c>
    </row>
    <row r="8" customFormat="false" ht="15" hidden="false" customHeight="false" outlineLevel="0" collapsed="false">
      <c r="A8" s="27" t="s">
        <v>180</v>
      </c>
      <c r="B8" s="15" t="s">
        <v>174</v>
      </c>
    </row>
    <row r="9" customFormat="false" ht="15" hidden="false" customHeight="false" outlineLevel="0" collapsed="false">
      <c r="A9" s="27" t="s">
        <v>211</v>
      </c>
      <c r="B9" s="30"/>
    </row>
    <row r="10" customFormat="false" ht="15" hidden="false" customHeight="false" outlineLevel="0" collapsed="false">
      <c r="A10" s="27" t="s">
        <v>212</v>
      </c>
      <c r="B10" s="30"/>
    </row>
    <row r="11" customFormat="false" ht="15" hidden="false" customHeight="false" outlineLevel="0" collapsed="false">
      <c r="A11" s="27" t="s">
        <v>213</v>
      </c>
      <c r="B11" s="30"/>
    </row>
    <row r="12" customFormat="false" ht="15" hidden="false" customHeight="false" outlineLevel="0" collapsed="false">
      <c r="A12" s="27" t="s">
        <v>214</v>
      </c>
      <c r="B12" s="15" t="s">
        <v>215</v>
      </c>
    </row>
    <row r="13" customFormat="false" ht="15" hidden="false" customHeight="false" outlineLevel="0" collapsed="false">
      <c r="A13" s="27" t="s">
        <v>216</v>
      </c>
      <c r="B13" s="15" t="s">
        <v>217</v>
      </c>
    </row>
    <row r="14" customFormat="false" ht="15" hidden="false" customHeight="false" outlineLevel="0" collapsed="false">
      <c r="A14" s="27" t="s">
        <v>218</v>
      </c>
      <c r="B14" s="15" t="s">
        <v>219</v>
      </c>
    </row>
    <row r="15" customFormat="false" ht="23.85" hidden="false" customHeight="false" outlineLevel="0" collapsed="false">
      <c r="A15" s="27" t="s">
        <v>220</v>
      </c>
      <c r="B15" s="15" t="s">
        <v>221</v>
      </c>
    </row>
    <row r="16" customFormat="false" ht="15" hidden="false" customHeight="false" outlineLevel="0" collapsed="false">
      <c r="A16" s="27" t="s">
        <v>222</v>
      </c>
      <c r="B16" s="15" t="s">
        <v>223</v>
      </c>
    </row>
    <row r="17" customFormat="false" ht="15" hidden="false" customHeight="false" outlineLevel="0" collapsed="false">
      <c r="A17" s="27" t="s">
        <v>224</v>
      </c>
      <c r="B17" s="15" t="s">
        <v>225</v>
      </c>
    </row>
  </sheetData>
  <hyperlinks>
    <hyperlink ref="B6" r:id="rId1" display="CurseForge pag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805A"/>
    <pageSetUpPr fitToPage="true"/>
  </sheetPr>
  <dimension ref="A1:J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8"/>
    <col collapsed="false" customWidth="true" hidden="false" outlineLevel="0" max="4" min="4" style="0" width="14"/>
    <col collapsed="false" customWidth="true" hidden="false" outlineLevel="0" max="5" min="5" style="0" width="34"/>
    <col collapsed="false" customWidth="true" hidden="false" outlineLevel="0" max="6" min="6" style="0" width="22"/>
    <col collapsed="false" customWidth="true" hidden="false" outlineLevel="0" max="7" min="7" style="0" width="26"/>
    <col collapsed="false" customWidth="true" hidden="false" outlineLevel="0" max="8" min="8" style="0" width="24"/>
    <col collapsed="false" customWidth="true" hidden="false" outlineLevel="0" max="9" min="9" style="0" width="12"/>
    <col collapsed="false" customWidth="true" hidden="false" outlineLevel="0" max="10" min="10" style="0" width="48"/>
  </cols>
  <sheetData>
    <row r="1" customFormat="false" ht="19.7" hidden="false" customHeight="false" outlineLevel="0" collapsed="false">
      <c r="A1" s="1" t="s">
        <v>226</v>
      </c>
    </row>
    <row r="2" customFormat="false" ht="15" hidden="false" customHeight="false" outlineLevel="0" collapsed="false">
      <c r="A2" s="2" t="s">
        <v>227</v>
      </c>
    </row>
    <row r="4" customFormat="false" ht="30" hidden="false" customHeight="true" outlineLevel="0" collapsed="false">
      <c r="A4" s="13" t="s">
        <v>228</v>
      </c>
      <c r="B4" s="13" t="s">
        <v>229</v>
      </c>
      <c r="C4" s="13" t="s">
        <v>230</v>
      </c>
      <c r="D4" s="13" t="s">
        <v>231</v>
      </c>
      <c r="E4" s="13" t="s">
        <v>232</v>
      </c>
      <c r="F4" s="13" t="s">
        <v>233</v>
      </c>
      <c r="G4" s="13" t="s">
        <v>234</v>
      </c>
      <c r="H4" s="13" t="s">
        <v>235</v>
      </c>
      <c r="I4" s="13" t="s">
        <v>236</v>
      </c>
      <c r="J4" s="13" t="s">
        <v>61</v>
      </c>
    </row>
    <row r="5" customFormat="false" ht="23.85" hidden="false" customHeight="false" outlineLevel="0" collapsed="false">
      <c r="A5" s="23" t="s">
        <v>237</v>
      </c>
      <c r="B5" s="23" t="s">
        <v>238</v>
      </c>
      <c r="C5" s="23" t="s">
        <v>239</v>
      </c>
      <c r="D5" s="23" t="s">
        <v>75</v>
      </c>
      <c r="E5" s="24" t="s">
        <v>240</v>
      </c>
      <c r="F5" s="23" t="s">
        <v>241</v>
      </c>
      <c r="G5" s="23" t="s">
        <v>242</v>
      </c>
      <c r="H5" s="23" t="s">
        <v>243</v>
      </c>
      <c r="I5" s="21" t="n">
        <v>46307</v>
      </c>
      <c r="J5" s="24" t="s">
        <v>172</v>
      </c>
    </row>
    <row r="6" customFormat="false" ht="23.85" hidden="false" customHeight="false" outlineLevel="0" collapsed="false">
      <c r="A6" s="16"/>
      <c r="B6" s="16"/>
      <c r="C6" s="16"/>
      <c r="D6" s="16"/>
      <c r="E6" s="15" t="s">
        <v>244</v>
      </c>
      <c r="F6" s="14" t="s">
        <v>245</v>
      </c>
      <c r="G6" s="14" t="s">
        <v>246</v>
      </c>
      <c r="H6" s="16"/>
      <c r="I6" s="17"/>
      <c r="J6" s="15" t="s">
        <v>247</v>
      </c>
    </row>
    <row r="7" customFormat="false" ht="15" hidden="false" customHeight="false" outlineLevel="0" collapsed="false">
      <c r="A7" s="14"/>
      <c r="B7" s="14"/>
      <c r="C7" s="14"/>
      <c r="D7" s="14"/>
      <c r="E7" s="15"/>
      <c r="F7" s="14"/>
      <c r="G7" s="14"/>
      <c r="H7" s="14"/>
      <c r="I7" s="20"/>
      <c r="J7" s="15"/>
    </row>
    <row r="8" customFormat="false" ht="15" hidden="false" customHeight="false" outlineLevel="0" collapsed="false">
      <c r="A8" s="14"/>
      <c r="B8" s="14"/>
      <c r="C8" s="14"/>
      <c r="D8" s="14"/>
      <c r="E8" s="15"/>
      <c r="F8" s="14"/>
      <c r="G8" s="14"/>
      <c r="H8" s="14"/>
      <c r="I8" s="20"/>
      <c r="J8" s="15"/>
    </row>
    <row r="9" customFormat="false" ht="15" hidden="false" customHeight="false" outlineLevel="0" collapsed="false">
      <c r="A9" s="14"/>
      <c r="B9" s="14"/>
      <c r="C9" s="14"/>
      <c r="D9" s="14"/>
      <c r="E9" s="15"/>
      <c r="F9" s="14"/>
      <c r="G9" s="14"/>
      <c r="H9" s="14"/>
      <c r="I9" s="20"/>
      <c r="J9" s="15"/>
    </row>
    <row r="10" customFormat="false" ht="15" hidden="false" customHeight="false" outlineLevel="0" collapsed="false">
      <c r="A10" s="14"/>
      <c r="B10" s="14"/>
      <c r="C10" s="14"/>
      <c r="D10" s="14"/>
      <c r="E10" s="15"/>
      <c r="F10" s="14"/>
      <c r="G10" s="14"/>
      <c r="H10" s="14"/>
      <c r="I10" s="20"/>
      <c r="J10" s="15"/>
    </row>
    <row r="11" customFormat="false" ht="15" hidden="false" customHeight="false" outlineLevel="0" collapsed="false">
      <c r="A11" s="14"/>
      <c r="B11" s="14"/>
      <c r="C11" s="14"/>
      <c r="D11" s="14"/>
      <c r="E11" s="15"/>
      <c r="F11" s="14"/>
      <c r="G11" s="14"/>
      <c r="H11" s="14"/>
      <c r="I11" s="20"/>
      <c r="J11" s="15"/>
    </row>
    <row r="12" customFormat="false" ht="15" hidden="false" customHeight="false" outlineLevel="0" collapsed="false">
      <c r="A12" s="14"/>
      <c r="B12" s="14"/>
      <c r="C12" s="14"/>
      <c r="D12" s="14"/>
      <c r="E12" s="15"/>
      <c r="F12" s="14"/>
      <c r="G12" s="14"/>
      <c r="H12" s="14"/>
      <c r="I12" s="20"/>
      <c r="J12" s="15"/>
    </row>
    <row r="13" customFormat="false" ht="15" hidden="false" customHeight="false" outlineLevel="0" collapsed="false">
      <c r="A13" s="14"/>
      <c r="B13" s="14"/>
      <c r="C13" s="14"/>
      <c r="D13" s="14"/>
      <c r="E13" s="15"/>
      <c r="F13" s="14"/>
      <c r="G13" s="14"/>
      <c r="H13" s="14"/>
      <c r="I13" s="20"/>
      <c r="J13" s="15"/>
    </row>
    <row r="14" customFormat="false" ht="15" hidden="false" customHeight="false" outlineLevel="0" collapsed="false">
      <c r="A14" s="14"/>
      <c r="B14" s="14"/>
      <c r="C14" s="14"/>
      <c r="D14" s="14"/>
      <c r="E14" s="15"/>
      <c r="F14" s="14"/>
      <c r="G14" s="14"/>
      <c r="H14" s="14"/>
      <c r="I14" s="20"/>
      <c r="J14" s="15"/>
    </row>
    <row r="15" customFormat="false" ht="15" hidden="false" customHeight="false" outlineLevel="0" collapsed="false">
      <c r="A15" s="14"/>
      <c r="B15" s="14"/>
      <c r="C15" s="14"/>
      <c r="D15" s="14"/>
      <c r="E15" s="15"/>
      <c r="F15" s="14"/>
      <c r="G15" s="14"/>
      <c r="H15" s="14"/>
      <c r="I15" s="20"/>
      <c r="J15" s="15"/>
    </row>
    <row r="16" customFormat="false" ht="15" hidden="false" customHeight="false" outlineLevel="0" collapsed="false">
      <c r="A16" s="14"/>
      <c r="B16" s="14"/>
      <c r="C16" s="14"/>
      <c r="D16" s="14"/>
      <c r="E16" s="15"/>
      <c r="F16" s="14"/>
      <c r="G16" s="14"/>
      <c r="H16" s="14"/>
      <c r="I16" s="20"/>
      <c r="J16" s="15"/>
    </row>
    <row r="17" customFormat="false" ht="15" hidden="false" customHeight="false" outlineLevel="0" collapsed="false">
      <c r="A17" s="14"/>
      <c r="B17" s="14"/>
      <c r="C17" s="14"/>
      <c r="D17" s="14"/>
      <c r="E17" s="15"/>
      <c r="F17" s="14"/>
      <c r="G17" s="14"/>
      <c r="H17" s="14"/>
      <c r="I17" s="20"/>
      <c r="J17" s="15"/>
    </row>
    <row r="18" customFormat="false" ht="15" hidden="false" customHeight="false" outlineLevel="0" collapsed="false">
      <c r="A18" s="14"/>
      <c r="B18" s="14"/>
      <c r="C18" s="14"/>
      <c r="D18" s="14"/>
      <c r="E18" s="15"/>
      <c r="F18" s="14"/>
      <c r="G18" s="14"/>
      <c r="H18" s="14"/>
      <c r="I18" s="20"/>
      <c r="J18" s="15"/>
    </row>
    <row r="19" customFormat="false" ht="15" hidden="false" customHeight="false" outlineLevel="0" collapsed="false">
      <c r="A19" s="14"/>
      <c r="B19" s="14"/>
      <c r="C19" s="14"/>
      <c r="D19" s="14"/>
      <c r="E19" s="15"/>
      <c r="F19" s="14"/>
      <c r="G19" s="14"/>
      <c r="H19" s="14"/>
      <c r="I19" s="20"/>
      <c r="J19" s="15"/>
    </row>
    <row r="20" customFormat="false" ht="15" hidden="false" customHeight="false" outlineLevel="0" collapsed="false">
      <c r="A20" s="14"/>
      <c r="B20" s="14"/>
      <c r="C20" s="14"/>
      <c r="D20" s="14"/>
      <c r="E20" s="15"/>
      <c r="F20" s="14"/>
      <c r="G20" s="14"/>
      <c r="H20" s="14"/>
      <c r="I20" s="20"/>
      <c r="J20" s="15"/>
    </row>
    <row r="21" customFormat="false" ht="15" hidden="false" customHeight="false" outlineLevel="0" collapsed="false">
      <c r="A21" s="14"/>
      <c r="B21" s="14"/>
      <c r="C21" s="14"/>
      <c r="D21" s="14"/>
      <c r="E21" s="15"/>
      <c r="F21" s="14"/>
      <c r="G21" s="14"/>
      <c r="H21" s="14"/>
      <c r="I21" s="20"/>
      <c r="J21" s="15"/>
    </row>
    <row r="22" customFormat="false" ht="15" hidden="false" customHeight="false" outlineLevel="0" collapsed="false">
      <c r="A22" s="14"/>
      <c r="B22" s="14"/>
      <c r="C22" s="14"/>
      <c r="D22" s="14"/>
      <c r="E22" s="15"/>
      <c r="F22" s="14"/>
      <c r="G22" s="14"/>
      <c r="H22" s="14"/>
      <c r="I22" s="20"/>
      <c r="J22" s="15"/>
    </row>
    <row r="23" customFormat="false" ht="15" hidden="false" customHeight="false" outlineLevel="0" collapsed="false">
      <c r="A23" s="14"/>
      <c r="B23" s="14"/>
      <c r="C23" s="14"/>
      <c r="D23" s="14"/>
      <c r="E23" s="15"/>
      <c r="F23" s="14"/>
      <c r="G23" s="14"/>
      <c r="H23" s="14"/>
      <c r="I23" s="20"/>
      <c r="J23" s="15"/>
    </row>
    <row r="24" customFormat="false" ht="15" hidden="false" customHeight="false" outlineLevel="0" collapsed="false">
      <c r="A24" s="14"/>
      <c r="B24" s="14"/>
      <c r="C24" s="14"/>
      <c r="D24" s="14"/>
      <c r="E24" s="15"/>
      <c r="F24" s="14"/>
      <c r="G24" s="14"/>
      <c r="H24" s="14"/>
      <c r="I24" s="20"/>
      <c r="J24" s="15"/>
    </row>
    <row r="25" customFormat="false" ht="15" hidden="false" customHeight="false" outlineLevel="0" collapsed="false">
      <c r="A25" s="14"/>
      <c r="B25" s="14"/>
      <c r="C25" s="14"/>
      <c r="D25" s="14"/>
      <c r="E25" s="15"/>
      <c r="F25" s="14"/>
      <c r="G25" s="14"/>
      <c r="H25" s="14"/>
      <c r="I25" s="20"/>
      <c r="J25" s="15"/>
    </row>
    <row r="26" customFormat="false" ht="15" hidden="false" customHeight="false" outlineLevel="0" collapsed="false">
      <c r="A26" s="14"/>
      <c r="B26" s="14"/>
      <c r="C26" s="14"/>
      <c r="D26" s="14"/>
      <c r="E26" s="15"/>
      <c r="F26" s="14"/>
      <c r="G26" s="14"/>
      <c r="H26" s="14"/>
      <c r="I26" s="20"/>
      <c r="J26" s="15"/>
    </row>
    <row r="27" customFormat="false" ht="15" hidden="false" customHeight="false" outlineLevel="0" collapsed="false">
      <c r="A27" s="14"/>
      <c r="B27" s="14"/>
      <c r="C27" s="14"/>
      <c r="D27" s="14"/>
      <c r="E27" s="15"/>
      <c r="F27" s="14"/>
      <c r="G27" s="14"/>
      <c r="H27" s="14"/>
      <c r="I27" s="20"/>
      <c r="J27" s="15"/>
    </row>
    <row r="28" customFormat="false" ht="15" hidden="false" customHeight="false" outlineLevel="0" collapsed="false">
      <c r="A28" s="14"/>
      <c r="B28" s="14"/>
      <c r="C28" s="14"/>
      <c r="D28" s="14"/>
      <c r="E28" s="15"/>
      <c r="F28" s="14"/>
      <c r="G28" s="14"/>
      <c r="H28" s="14"/>
      <c r="I28" s="20"/>
      <c r="J28" s="15"/>
    </row>
    <row r="29" customFormat="false" ht="15" hidden="false" customHeight="false" outlineLevel="0" collapsed="false">
      <c r="A29" s="14"/>
      <c r="B29" s="14"/>
      <c r="C29" s="14"/>
      <c r="D29" s="14"/>
      <c r="E29" s="15"/>
      <c r="F29" s="14"/>
      <c r="G29" s="14"/>
      <c r="H29" s="14"/>
      <c r="I29" s="20"/>
      <c r="J29" s="15"/>
    </row>
    <row r="30" customFormat="false" ht="15" hidden="false" customHeight="false" outlineLevel="0" collapsed="false">
      <c r="A30" s="14"/>
      <c r="B30" s="14"/>
      <c r="C30" s="14"/>
      <c r="D30" s="14"/>
      <c r="E30" s="15"/>
      <c r="F30" s="14"/>
      <c r="G30" s="14"/>
      <c r="H30" s="14"/>
      <c r="I30" s="20"/>
      <c r="J30" s="15"/>
    </row>
    <row r="31" customFormat="false" ht="15" hidden="false" customHeight="false" outlineLevel="0" collapsed="false">
      <c r="A31" s="14"/>
      <c r="B31" s="14"/>
      <c r="C31" s="14"/>
      <c r="D31" s="14"/>
      <c r="E31" s="15"/>
      <c r="F31" s="14"/>
      <c r="G31" s="14"/>
      <c r="H31" s="14"/>
      <c r="I31" s="20"/>
      <c r="J31" s="15"/>
    </row>
    <row r="32" customFormat="false" ht="15" hidden="false" customHeight="false" outlineLevel="0" collapsed="false">
      <c r="A32" s="14"/>
      <c r="B32" s="14"/>
      <c r="C32" s="14"/>
      <c r="D32" s="14"/>
      <c r="E32" s="15"/>
      <c r="F32" s="14"/>
      <c r="G32" s="14"/>
      <c r="H32" s="14"/>
      <c r="I32" s="20"/>
      <c r="J32" s="15"/>
    </row>
    <row r="33" customFormat="false" ht="15" hidden="false" customHeight="false" outlineLevel="0" collapsed="false">
      <c r="A33" s="14"/>
      <c r="B33" s="14"/>
      <c r="C33" s="14"/>
      <c r="D33" s="14"/>
      <c r="E33" s="15"/>
      <c r="F33" s="14"/>
      <c r="G33" s="14"/>
      <c r="H33" s="14"/>
      <c r="I33" s="20"/>
      <c r="J33" s="15"/>
    </row>
    <row r="34" customFormat="false" ht="15" hidden="false" customHeight="false" outlineLevel="0" collapsed="false">
      <c r="A34" s="14"/>
      <c r="B34" s="14"/>
      <c r="C34" s="14"/>
      <c r="D34" s="14"/>
      <c r="E34" s="15"/>
      <c r="F34" s="14"/>
      <c r="G34" s="14"/>
      <c r="H34" s="14"/>
      <c r="I34" s="20"/>
      <c r="J34" s="15"/>
    </row>
    <row r="35" customFormat="false" ht="15" hidden="false" customHeight="false" outlineLevel="0" collapsed="false">
      <c r="A35" s="14"/>
      <c r="B35" s="14"/>
      <c r="C35" s="14"/>
      <c r="D35" s="14"/>
      <c r="E35" s="15"/>
      <c r="F35" s="14"/>
      <c r="G35" s="14"/>
      <c r="H35" s="14"/>
      <c r="I35" s="20"/>
      <c r="J35" s="15"/>
    </row>
    <row r="36" customFormat="false" ht="15" hidden="false" customHeight="false" outlineLevel="0" collapsed="false">
      <c r="A36" s="14"/>
      <c r="B36" s="14"/>
      <c r="C36" s="14"/>
      <c r="D36" s="14"/>
      <c r="E36" s="15"/>
      <c r="F36" s="14"/>
      <c r="G36" s="14"/>
      <c r="H36" s="14"/>
      <c r="I36" s="20"/>
      <c r="J36" s="15"/>
    </row>
    <row r="37" customFormat="false" ht="15" hidden="false" customHeight="false" outlineLevel="0" collapsed="false">
      <c r="A37" s="14"/>
      <c r="B37" s="14"/>
      <c r="C37" s="14"/>
      <c r="D37" s="14"/>
      <c r="E37" s="15"/>
      <c r="F37" s="14"/>
      <c r="G37" s="14"/>
      <c r="H37" s="14"/>
      <c r="I37" s="20"/>
      <c r="J37" s="15"/>
    </row>
    <row r="38" customFormat="false" ht="15" hidden="false" customHeight="false" outlineLevel="0" collapsed="false">
      <c r="A38" s="14"/>
      <c r="B38" s="14"/>
      <c r="C38" s="14"/>
      <c r="D38" s="14"/>
      <c r="E38" s="15"/>
      <c r="F38" s="14"/>
      <c r="G38" s="14"/>
      <c r="H38" s="14"/>
      <c r="I38" s="20"/>
      <c r="J38" s="15"/>
    </row>
    <row r="39" customFormat="false" ht="15" hidden="false" customHeight="false" outlineLevel="0" collapsed="false">
      <c r="A39" s="14"/>
      <c r="B39" s="14"/>
      <c r="C39" s="14"/>
      <c r="D39" s="14"/>
      <c r="E39" s="15"/>
      <c r="F39" s="14"/>
      <c r="G39" s="14"/>
      <c r="H39" s="14"/>
      <c r="I39" s="20"/>
      <c r="J39" s="15"/>
    </row>
    <row r="40" customFormat="false" ht="15" hidden="false" customHeight="false" outlineLevel="0" collapsed="false">
      <c r="A40" s="14"/>
      <c r="B40" s="14"/>
      <c r="C40" s="14"/>
      <c r="D40" s="14"/>
      <c r="E40" s="15"/>
      <c r="F40" s="14"/>
      <c r="G40" s="14"/>
      <c r="H40" s="14"/>
      <c r="I40" s="20"/>
      <c r="J40" s="15"/>
    </row>
    <row r="41" customFormat="false" ht="15" hidden="false" customHeight="false" outlineLevel="0" collapsed="false">
      <c r="A41" s="14"/>
      <c r="B41" s="14"/>
      <c r="C41" s="14"/>
      <c r="D41" s="14"/>
      <c r="E41" s="15"/>
      <c r="F41" s="14"/>
      <c r="G41" s="14"/>
      <c r="H41" s="14"/>
      <c r="I41" s="20"/>
      <c r="J41" s="15"/>
    </row>
    <row r="42" customFormat="false" ht="15" hidden="false" customHeight="false" outlineLevel="0" collapsed="false">
      <c r="A42" s="14"/>
      <c r="B42" s="14"/>
      <c r="C42" s="14"/>
      <c r="D42" s="14"/>
      <c r="E42" s="15"/>
      <c r="F42" s="14"/>
      <c r="G42" s="14"/>
      <c r="H42" s="14"/>
      <c r="I42" s="20"/>
      <c r="J42" s="15"/>
    </row>
    <row r="43" customFormat="false" ht="15" hidden="false" customHeight="false" outlineLevel="0" collapsed="false">
      <c r="A43" s="14"/>
      <c r="B43" s="14"/>
      <c r="C43" s="14"/>
      <c r="D43" s="14"/>
      <c r="E43" s="15"/>
      <c r="F43" s="14"/>
      <c r="G43" s="14"/>
      <c r="H43" s="14"/>
      <c r="I43" s="20"/>
      <c r="J43" s="15"/>
    </row>
    <row r="44" customFormat="false" ht="15" hidden="false" customHeight="false" outlineLevel="0" collapsed="false">
      <c r="A44" s="14"/>
      <c r="B44" s="14"/>
      <c r="C44" s="14"/>
      <c r="D44" s="14"/>
      <c r="E44" s="15"/>
      <c r="F44" s="14"/>
      <c r="G44" s="14"/>
      <c r="H44" s="14"/>
      <c r="I44" s="20"/>
      <c r="J44" s="15"/>
    </row>
    <row r="45" customFormat="false" ht="15" hidden="false" customHeight="false" outlineLevel="0" collapsed="false">
      <c r="A45" s="14"/>
      <c r="B45" s="14"/>
      <c r="C45" s="14"/>
      <c r="D45" s="14"/>
      <c r="E45" s="15"/>
      <c r="F45" s="14"/>
      <c r="G45" s="14"/>
      <c r="H45" s="14"/>
      <c r="I45" s="20"/>
      <c r="J45" s="15"/>
    </row>
    <row r="46" customFormat="false" ht="15" hidden="false" customHeight="false" outlineLevel="0" collapsed="false">
      <c r="A46" s="14"/>
      <c r="B46" s="14"/>
      <c r="C46" s="14"/>
      <c r="D46" s="14"/>
      <c r="E46" s="15"/>
      <c r="F46" s="14"/>
      <c r="G46" s="14"/>
      <c r="H46" s="14"/>
      <c r="I46" s="20"/>
      <c r="J46" s="15"/>
    </row>
    <row r="47" customFormat="false" ht="15" hidden="false" customHeight="false" outlineLevel="0" collapsed="false">
      <c r="A47" s="14"/>
      <c r="B47" s="14"/>
      <c r="C47" s="14"/>
      <c r="D47" s="14"/>
      <c r="E47" s="15"/>
      <c r="F47" s="14"/>
      <c r="G47" s="14"/>
      <c r="H47" s="14"/>
      <c r="I47" s="20"/>
      <c r="J47" s="15"/>
    </row>
    <row r="48" customFormat="false" ht="15" hidden="false" customHeight="false" outlineLevel="0" collapsed="false">
      <c r="A48" s="14"/>
      <c r="B48" s="14"/>
      <c r="C48" s="14"/>
      <c r="D48" s="14"/>
      <c r="E48" s="15"/>
      <c r="F48" s="14"/>
      <c r="G48" s="14"/>
      <c r="H48" s="14"/>
      <c r="I48" s="20"/>
      <c r="J48" s="15"/>
    </row>
    <row r="49" customFormat="false" ht="15" hidden="false" customHeight="false" outlineLevel="0" collapsed="false">
      <c r="A49" s="14"/>
      <c r="B49" s="14"/>
      <c r="C49" s="14"/>
      <c r="D49" s="14"/>
      <c r="E49" s="15"/>
      <c r="F49" s="14"/>
      <c r="G49" s="14"/>
      <c r="H49" s="14"/>
      <c r="I49" s="20"/>
      <c r="J49" s="15"/>
    </row>
    <row r="50" customFormat="false" ht="15" hidden="false" customHeight="false" outlineLevel="0" collapsed="false">
      <c r="A50" s="14"/>
      <c r="B50" s="14"/>
      <c r="C50" s="14"/>
      <c r="D50" s="14"/>
      <c r="E50" s="15"/>
      <c r="F50" s="14"/>
      <c r="G50" s="14"/>
      <c r="H50" s="14"/>
      <c r="I50" s="20"/>
      <c r="J50" s="15"/>
    </row>
    <row r="51" customFormat="false" ht="15" hidden="false" customHeight="false" outlineLevel="0" collapsed="false">
      <c r="A51" s="14"/>
      <c r="B51" s="14"/>
      <c r="C51" s="14"/>
      <c r="D51" s="14"/>
      <c r="E51" s="15"/>
      <c r="F51" s="14"/>
      <c r="G51" s="14"/>
      <c r="H51" s="14"/>
      <c r="I51" s="20"/>
      <c r="J51" s="15"/>
    </row>
    <row r="52" customFormat="false" ht="15" hidden="false" customHeight="false" outlineLevel="0" collapsed="false">
      <c r="A52" s="14"/>
      <c r="B52" s="14"/>
      <c r="C52" s="14"/>
      <c r="D52" s="14"/>
      <c r="E52" s="15"/>
      <c r="F52" s="14"/>
      <c r="G52" s="14"/>
      <c r="H52" s="14"/>
      <c r="I52" s="20"/>
      <c r="J52" s="15"/>
    </row>
    <row r="53" customFormat="false" ht="15" hidden="false" customHeight="false" outlineLevel="0" collapsed="false">
      <c r="A53" s="14"/>
      <c r="B53" s="14"/>
      <c r="C53" s="14"/>
      <c r="D53" s="14"/>
      <c r="E53" s="15"/>
      <c r="F53" s="14"/>
      <c r="G53" s="14"/>
      <c r="H53" s="14"/>
      <c r="I53" s="20"/>
      <c r="J53" s="15"/>
    </row>
    <row r="54" customFormat="false" ht="15" hidden="false" customHeight="false" outlineLevel="0" collapsed="false">
      <c r="A54" s="14"/>
      <c r="B54" s="14"/>
      <c r="C54" s="14"/>
      <c r="D54" s="14"/>
      <c r="E54" s="15"/>
      <c r="F54" s="14"/>
      <c r="G54" s="14"/>
      <c r="H54" s="14"/>
      <c r="I54" s="20"/>
      <c r="J54" s="15"/>
    </row>
    <row r="55" customFormat="false" ht="15" hidden="false" customHeight="false" outlineLevel="0" collapsed="false">
      <c r="A55" s="14"/>
      <c r="B55" s="14"/>
      <c r="C55" s="14"/>
      <c r="D55" s="14"/>
      <c r="E55" s="15"/>
      <c r="F55" s="14"/>
      <c r="G55" s="14"/>
      <c r="H55" s="14"/>
      <c r="I55" s="20"/>
      <c r="J55" s="15"/>
    </row>
    <row r="56" customFormat="false" ht="15" hidden="false" customHeight="false" outlineLevel="0" collapsed="false">
      <c r="A56" s="14"/>
      <c r="B56" s="14"/>
      <c r="C56" s="14"/>
      <c r="D56" s="14"/>
      <c r="E56" s="15"/>
      <c r="F56" s="14"/>
      <c r="G56" s="14"/>
      <c r="H56" s="14"/>
      <c r="I56" s="20"/>
      <c r="J56" s="15"/>
    </row>
    <row r="57" customFormat="false" ht="15" hidden="false" customHeight="false" outlineLevel="0" collapsed="false">
      <c r="A57" s="14"/>
      <c r="B57" s="14"/>
      <c r="C57" s="14"/>
      <c r="D57" s="14"/>
      <c r="E57" s="15"/>
      <c r="F57" s="14"/>
      <c r="G57" s="14"/>
      <c r="H57" s="14"/>
      <c r="I57" s="20"/>
      <c r="J57" s="15"/>
    </row>
    <row r="58" customFormat="false" ht="15" hidden="false" customHeight="false" outlineLevel="0" collapsed="false">
      <c r="A58" s="14"/>
      <c r="B58" s="14"/>
      <c r="C58" s="14"/>
      <c r="D58" s="14"/>
      <c r="E58" s="15"/>
      <c r="F58" s="14"/>
      <c r="G58" s="14"/>
      <c r="H58" s="14"/>
      <c r="I58" s="20"/>
      <c r="J58" s="15"/>
    </row>
    <row r="59" customFormat="false" ht="15" hidden="false" customHeight="false" outlineLevel="0" collapsed="false">
      <c r="A59" s="14"/>
      <c r="B59" s="14"/>
      <c r="C59" s="14"/>
      <c r="D59" s="14"/>
      <c r="E59" s="15"/>
      <c r="F59" s="14"/>
      <c r="G59" s="14"/>
      <c r="H59" s="14"/>
      <c r="I59" s="20"/>
      <c r="J59" s="15"/>
    </row>
    <row r="60" customFormat="false" ht="15" hidden="false" customHeight="false" outlineLevel="0" collapsed="false">
      <c r="A60" s="14"/>
      <c r="B60" s="14"/>
      <c r="C60" s="14"/>
      <c r="D60" s="14"/>
      <c r="E60" s="15"/>
      <c r="F60" s="14"/>
      <c r="G60" s="14"/>
      <c r="H60" s="14"/>
      <c r="I60" s="20"/>
      <c r="J60" s="15"/>
    </row>
    <row r="61" customFormat="false" ht="15" hidden="false" customHeight="false" outlineLevel="0" collapsed="false">
      <c r="A61" s="14"/>
      <c r="B61" s="14"/>
      <c r="C61" s="14"/>
      <c r="D61" s="14"/>
      <c r="E61" s="15"/>
      <c r="F61" s="14"/>
      <c r="G61" s="14"/>
      <c r="H61" s="14"/>
      <c r="I61" s="20"/>
      <c r="J61" s="15"/>
    </row>
    <row r="62" customFormat="false" ht="15" hidden="false" customHeight="false" outlineLevel="0" collapsed="false">
      <c r="A62" s="14"/>
      <c r="B62" s="14"/>
      <c r="C62" s="14"/>
      <c r="D62" s="14"/>
      <c r="E62" s="15"/>
      <c r="F62" s="14"/>
      <c r="G62" s="14"/>
      <c r="H62" s="14"/>
      <c r="I62" s="20"/>
      <c r="J62" s="15"/>
    </row>
    <row r="63" customFormat="false" ht="15" hidden="false" customHeight="false" outlineLevel="0" collapsed="false">
      <c r="A63" s="14"/>
      <c r="B63" s="14"/>
      <c r="C63" s="14"/>
      <c r="D63" s="14"/>
      <c r="E63" s="15"/>
      <c r="F63" s="14"/>
      <c r="G63" s="14"/>
      <c r="H63" s="14"/>
      <c r="I63" s="20"/>
      <c r="J63" s="15"/>
    </row>
    <row r="64" customFormat="false" ht="15" hidden="false" customHeight="false" outlineLevel="0" collapsed="false">
      <c r="A64" s="14"/>
      <c r="B64" s="14"/>
      <c r="C64" s="14"/>
      <c r="D64" s="14"/>
      <c r="E64" s="15"/>
      <c r="F64" s="14"/>
      <c r="G64" s="14"/>
      <c r="H64" s="14"/>
      <c r="I64" s="20"/>
      <c r="J64" s="15"/>
    </row>
    <row r="65" customFormat="false" ht="15" hidden="false" customHeight="false" outlineLevel="0" collapsed="false">
      <c r="A65" s="14"/>
      <c r="B65" s="14"/>
      <c r="C65" s="14"/>
      <c r="D65" s="14"/>
      <c r="E65" s="15"/>
      <c r="F65" s="14"/>
      <c r="G65" s="14"/>
      <c r="H65" s="14"/>
      <c r="I65" s="20"/>
      <c r="J65" s="15"/>
    </row>
    <row r="66" customFormat="false" ht="15" hidden="false" customHeight="false" outlineLevel="0" collapsed="false">
      <c r="A66" s="14"/>
      <c r="B66" s="14"/>
      <c r="C66" s="14"/>
      <c r="D66" s="14"/>
      <c r="E66" s="15"/>
      <c r="F66" s="14"/>
      <c r="G66" s="14"/>
      <c r="H66" s="14"/>
      <c r="I66" s="20"/>
      <c r="J66" s="15"/>
    </row>
    <row r="67" customFormat="false" ht="15" hidden="false" customHeight="false" outlineLevel="0" collapsed="false">
      <c r="A67" s="14"/>
      <c r="B67" s="14"/>
      <c r="C67" s="14"/>
      <c r="D67" s="14"/>
      <c r="E67" s="15"/>
      <c r="F67" s="14"/>
      <c r="G67" s="14"/>
      <c r="H67" s="14"/>
      <c r="I67" s="20"/>
      <c r="J67" s="15"/>
    </row>
    <row r="68" customFormat="false" ht="15" hidden="false" customHeight="false" outlineLevel="0" collapsed="false">
      <c r="A68" s="14"/>
      <c r="B68" s="14"/>
      <c r="C68" s="14"/>
      <c r="D68" s="14"/>
      <c r="E68" s="15"/>
      <c r="F68" s="14"/>
      <c r="G68" s="14"/>
      <c r="H68" s="14"/>
      <c r="I68" s="20"/>
      <c r="J68" s="15"/>
    </row>
    <row r="69" customFormat="false" ht="15" hidden="false" customHeight="false" outlineLevel="0" collapsed="false">
      <c r="A69" s="14"/>
      <c r="B69" s="14"/>
      <c r="C69" s="14"/>
      <c r="D69" s="14"/>
      <c r="E69" s="15"/>
      <c r="F69" s="14"/>
      <c r="G69" s="14"/>
      <c r="H69" s="14"/>
      <c r="I69" s="20"/>
      <c r="J69" s="15"/>
    </row>
    <row r="70" customFormat="false" ht="15" hidden="false" customHeight="false" outlineLevel="0" collapsed="false">
      <c r="A70" s="14"/>
      <c r="B70" s="14"/>
      <c r="C70" s="14"/>
      <c r="D70" s="14"/>
      <c r="E70" s="15"/>
      <c r="F70" s="14"/>
      <c r="G70" s="14"/>
      <c r="H70" s="14"/>
      <c r="I70" s="20"/>
      <c r="J70" s="15"/>
    </row>
    <row r="71" customFormat="false" ht="15" hidden="false" customHeight="false" outlineLevel="0" collapsed="false">
      <c r="A71" s="14"/>
      <c r="B71" s="14"/>
      <c r="C71" s="14"/>
      <c r="D71" s="14"/>
      <c r="E71" s="15"/>
      <c r="F71" s="14"/>
      <c r="G71" s="14"/>
      <c r="H71" s="14"/>
      <c r="I71" s="20"/>
      <c r="J71" s="15"/>
    </row>
    <row r="72" customFormat="false" ht="15" hidden="false" customHeight="false" outlineLevel="0" collapsed="false">
      <c r="A72" s="14"/>
      <c r="B72" s="14"/>
      <c r="C72" s="14"/>
      <c r="D72" s="14"/>
      <c r="E72" s="15"/>
      <c r="F72" s="14"/>
      <c r="G72" s="14"/>
      <c r="H72" s="14"/>
      <c r="I72" s="20"/>
      <c r="J72" s="15"/>
    </row>
    <row r="73" customFormat="false" ht="15" hidden="false" customHeight="false" outlineLevel="0" collapsed="false">
      <c r="A73" s="14"/>
      <c r="B73" s="14"/>
      <c r="C73" s="14"/>
      <c r="D73" s="14"/>
      <c r="E73" s="15"/>
      <c r="F73" s="14"/>
      <c r="G73" s="14"/>
      <c r="H73" s="14"/>
      <c r="I73" s="20"/>
      <c r="J73" s="15"/>
    </row>
    <row r="74" customFormat="false" ht="15" hidden="false" customHeight="false" outlineLevel="0" collapsed="false">
      <c r="A74" s="14"/>
      <c r="B74" s="14"/>
      <c r="C74" s="14"/>
      <c r="D74" s="14"/>
      <c r="E74" s="15"/>
      <c r="F74" s="14"/>
      <c r="G74" s="14"/>
      <c r="H74" s="14"/>
      <c r="I74" s="20"/>
      <c r="J74" s="15"/>
    </row>
    <row r="75" customFormat="false" ht="15" hidden="false" customHeight="false" outlineLevel="0" collapsed="false">
      <c r="A75" s="14"/>
      <c r="B75" s="14"/>
      <c r="C75" s="14"/>
      <c r="D75" s="14"/>
      <c r="E75" s="15"/>
      <c r="F75" s="14"/>
      <c r="G75" s="14"/>
      <c r="H75" s="14"/>
      <c r="I75" s="20"/>
      <c r="J75" s="15"/>
    </row>
    <row r="76" customFormat="false" ht="15" hidden="false" customHeight="false" outlineLevel="0" collapsed="false">
      <c r="A76" s="14"/>
      <c r="B76" s="14"/>
      <c r="C76" s="14"/>
      <c r="D76" s="14"/>
      <c r="E76" s="15"/>
      <c r="F76" s="14"/>
      <c r="G76" s="14"/>
      <c r="H76" s="14"/>
      <c r="I76" s="20"/>
      <c r="J76" s="15"/>
    </row>
    <row r="77" customFormat="false" ht="15" hidden="false" customHeight="false" outlineLevel="0" collapsed="false">
      <c r="A77" s="14"/>
      <c r="B77" s="14"/>
      <c r="C77" s="14"/>
      <c r="D77" s="14"/>
      <c r="E77" s="15"/>
      <c r="F77" s="14"/>
      <c r="G77" s="14"/>
      <c r="H77" s="14"/>
      <c r="I77" s="20"/>
      <c r="J77" s="15"/>
    </row>
    <row r="78" customFormat="false" ht="15" hidden="false" customHeight="false" outlineLevel="0" collapsed="false">
      <c r="A78" s="14"/>
      <c r="B78" s="14"/>
      <c r="C78" s="14"/>
      <c r="D78" s="14"/>
      <c r="E78" s="15"/>
      <c r="F78" s="14"/>
      <c r="G78" s="14"/>
      <c r="H78" s="14"/>
      <c r="I78" s="20"/>
      <c r="J78" s="15"/>
    </row>
    <row r="79" customFormat="false" ht="15" hidden="false" customHeight="false" outlineLevel="0" collapsed="false">
      <c r="A79" s="14"/>
      <c r="B79" s="14"/>
      <c r="C79" s="14"/>
      <c r="D79" s="14"/>
      <c r="E79" s="15"/>
      <c r="F79" s="14"/>
      <c r="G79" s="14"/>
      <c r="H79" s="14"/>
      <c r="I79" s="20"/>
      <c r="J79" s="15"/>
    </row>
    <row r="80" customFormat="false" ht="15" hidden="false" customHeight="false" outlineLevel="0" collapsed="false">
      <c r="A80" s="14"/>
      <c r="B80" s="14"/>
      <c r="C80" s="14"/>
      <c r="D80" s="14"/>
      <c r="E80" s="15"/>
      <c r="F80" s="14"/>
      <c r="G80" s="14"/>
      <c r="H80" s="14"/>
      <c r="I80" s="20"/>
      <c r="J80" s="15"/>
    </row>
    <row r="81" customFormat="false" ht="15" hidden="false" customHeight="false" outlineLevel="0" collapsed="false">
      <c r="A81" s="14"/>
      <c r="B81" s="14"/>
      <c r="C81" s="14"/>
      <c r="D81" s="14"/>
      <c r="E81" s="15"/>
      <c r="F81" s="14"/>
      <c r="G81" s="14"/>
      <c r="H81" s="14"/>
      <c r="I81" s="20"/>
      <c r="J81" s="15"/>
    </row>
    <row r="82" customFormat="false" ht="15" hidden="false" customHeight="false" outlineLevel="0" collapsed="false">
      <c r="A82" s="14"/>
      <c r="B82" s="14"/>
      <c r="C82" s="14"/>
      <c r="D82" s="14"/>
      <c r="E82" s="15"/>
      <c r="F82" s="14"/>
      <c r="G82" s="14"/>
      <c r="H82" s="14"/>
      <c r="I82" s="20"/>
      <c r="J82" s="15"/>
    </row>
    <row r="83" customFormat="false" ht="15" hidden="false" customHeight="false" outlineLevel="0" collapsed="false">
      <c r="A83" s="14"/>
      <c r="B83" s="14"/>
      <c r="C83" s="14"/>
      <c r="D83" s="14"/>
      <c r="E83" s="15"/>
      <c r="F83" s="14"/>
      <c r="G83" s="14"/>
      <c r="H83" s="14"/>
      <c r="I83" s="20"/>
      <c r="J83" s="15"/>
    </row>
    <row r="84" customFormat="false" ht="15" hidden="false" customHeight="false" outlineLevel="0" collapsed="false">
      <c r="A84" s="14"/>
      <c r="B84" s="14"/>
      <c r="C84" s="14"/>
      <c r="D84" s="14"/>
      <c r="E84" s="15"/>
      <c r="F84" s="14"/>
      <c r="G84" s="14"/>
      <c r="H84" s="14"/>
      <c r="I84" s="20"/>
      <c r="J84" s="15"/>
    </row>
    <row r="85" customFormat="false" ht="15" hidden="false" customHeight="false" outlineLevel="0" collapsed="false">
      <c r="A85" s="14"/>
      <c r="B85" s="14"/>
      <c r="C85" s="14"/>
      <c r="D85" s="14"/>
      <c r="E85" s="15"/>
      <c r="F85" s="14"/>
      <c r="G85" s="14"/>
      <c r="H85" s="14"/>
      <c r="I85" s="20"/>
      <c r="J85" s="15"/>
    </row>
    <row r="86" customFormat="false" ht="15" hidden="false" customHeight="false" outlineLevel="0" collapsed="false">
      <c r="A86" s="14"/>
      <c r="B86" s="14"/>
      <c r="C86" s="14"/>
      <c r="D86" s="14"/>
      <c r="E86" s="15"/>
      <c r="F86" s="14"/>
      <c r="G86" s="14"/>
      <c r="H86" s="14"/>
      <c r="I86" s="20"/>
      <c r="J86" s="15"/>
    </row>
    <row r="87" customFormat="false" ht="15" hidden="false" customHeight="false" outlineLevel="0" collapsed="false">
      <c r="A87" s="14"/>
      <c r="B87" s="14"/>
      <c r="C87" s="14"/>
      <c r="D87" s="14"/>
      <c r="E87" s="15"/>
      <c r="F87" s="14"/>
      <c r="G87" s="14"/>
      <c r="H87" s="14"/>
      <c r="I87" s="20"/>
      <c r="J87" s="15"/>
    </row>
    <row r="88" customFormat="false" ht="15" hidden="false" customHeight="false" outlineLevel="0" collapsed="false">
      <c r="A88" s="14"/>
      <c r="B88" s="14"/>
      <c r="C88" s="14"/>
      <c r="D88" s="14"/>
      <c r="E88" s="15"/>
      <c r="F88" s="14"/>
      <c r="G88" s="14"/>
      <c r="H88" s="14"/>
      <c r="I88" s="20"/>
      <c r="J88" s="15"/>
    </row>
    <row r="89" customFormat="false" ht="15" hidden="false" customHeight="false" outlineLevel="0" collapsed="false">
      <c r="A89" s="14"/>
      <c r="B89" s="14"/>
      <c r="C89" s="14"/>
      <c r="D89" s="14"/>
      <c r="E89" s="15"/>
      <c r="F89" s="14"/>
      <c r="G89" s="14"/>
      <c r="H89" s="14"/>
      <c r="I89" s="20"/>
      <c r="J89" s="15"/>
    </row>
    <row r="90" customFormat="false" ht="15" hidden="false" customHeight="false" outlineLevel="0" collapsed="false">
      <c r="A90" s="14"/>
      <c r="B90" s="14"/>
      <c r="C90" s="14"/>
      <c r="D90" s="14"/>
      <c r="E90" s="15"/>
      <c r="F90" s="14"/>
      <c r="G90" s="14"/>
      <c r="H90" s="14"/>
      <c r="I90" s="20"/>
      <c r="J90" s="15"/>
    </row>
    <row r="91" customFormat="false" ht="15" hidden="false" customHeight="false" outlineLevel="0" collapsed="false">
      <c r="A91" s="14"/>
      <c r="B91" s="14"/>
      <c r="C91" s="14"/>
      <c r="D91" s="14"/>
      <c r="E91" s="15"/>
      <c r="F91" s="14"/>
      <c r="G91" s="14"/>
      <c r="H91" s="14"/>
      <c r="I91" s="20"/>
      <c r="J91" s="15"/>
    </row>
    <row r="92" customFormat="false" ht="15" hidden="false" customHeight="false" outlineLevel="0" collapsed="false">
      <c r="A92" s="14"/>
      <c r="B92" s="14"/>
      <c r="C92" s="14"/>
      <c r="D92" s="14"/>
      <c r="E92" s="15"/>
      <c r="F92" s="14"/>
      <c r="G92" s="14"/>
      <c r="H92" s="14"/>
      <c r="I92" s="20"/>
      <c r="J92" s="15"/>
    </row>
    <row r="93" customFormat="false" ht="15" hidden="false" customHeight="false" outlineLevel="0" collapsed="false">
      <c r="A93" s="14"/>
      <c r="B93" s="14"/>
      <c r="C93" s="14"/>
      <c r="D93" s="14"/>
      <c r="E93" s="15"/>
      <c r="F93" s="14"/>
      <c r="G93" s="14"/>
      <c r="H93" s="14"/>
      <c r="I93" s="20"/>
      <c r="J93" s="15"/>
    </row>
    <row r="94" customFormat="false" ht="15" hidden="false" customHeight="false" outlineLevel="0" collapsed="false">
      <c r="A94" s="14"/>
      <c r="B94" s="14"/>
      <c r="C94" s="14"/>
      <c r="D94" s="14"/>
      <c r="E94" s="15"/>
      <c r="F94" s="14"/>
      <c r="G94" s="14"/>
      <c r="H94" s="14"/>
      <c r="I94" s="20"/>
      <c r="J94" s="15"/>
    </row>
    <row r="95" customFormat="false" ht="15" hidden="false" customHeight="false" outlineLevel="0" collapsed="false">
      <c r="A95" s="14"/>
      <c r="B95" s="14"/>
      <c r="C95" s="14"/>
      <c r="D95" s="14"/>
      <c r="E95" s="15"/>
      <c r="F95" s="14"/>
      <c r="G95" s="14"/>
      <c r="H95" s="14"/>
      <c r="I95" s="20"/>
      <c r="J95" s="15"/>
    </row>
    <row r="96" customFormat="false" ht="15" hidden="false" customHeight="false" outlineLevel="0" collapsed="false">
      <c r="A96" s="14"/>
      <c r="B96" s="14"/>
      <c r="C96" s="14"/>
      <c r="D96" s="14"/>
      <c r="E96" s="15"/>
      <c r="F96" s="14"/>
      <c r="G96" s="14"/>
      <c r="H96" s="14"/>
      <c r="I96" s="20"/>
      <c r="J96" s="15"/>
    </row>
    <row r="97" customFormat="false" ht="15" hidden="false" customHeight="false" outlineLevel="0" collapsed="false">
      <c r="A97" s="14"/>
      <c r="B97" s="14"/>
      <c r="C97" s="14"/>
      <c r="D97" s="14"/>
      <c r="E97" s="15"/>
      <c r="F97" s="14"/>
      <c r="G97" s="14"/>
      <c r="H97" s="14"/>
      <c r="I97" s="20"/>
      <c r="J97" s="15"/>
    </row>
    <row r="98" customFormat="false" ht="15" hidden="false" customHeight="false" outlineLevel="0" collapsed="false">
      <c r="A98" s="14"/>
      <c r="B98" s="14"/>
      <c r="C98" s="14"/>
      <c r="D98" s="14"/>
      <c r="E98" s="15"/>
      <c r="F98" s="14"/>
      <c r="G98" s="14"/>
      <c r="H98" s="14"/>
      <c r="I98" s="20"/>
      <c r="J98" s="15"/>
    </row>
    <row r="99" customFormat="false" ht="15" hidden="false" customHeight="false" outlineLevel="0" collapsed="false">
      <c r="A99" s="14"/>
      <c r="B99" s="14"/>
      <c r="C99" s="14"/>
      <c r="D99" s="14"/>
      <c r="E99" s="15"/>
      <c r="F99" s="14"/>
      <c r="G99" s="14"/>
      <c r="H99" s="14"/>
      <c r="I99" s="20"/>
      <c r="J99" s="15"/>
    </row>
    <row r="100" customFormat="false" ht="15" hidden="false" customHeight="false" outlineLevel="0" collapsed="false">
      <c r="A100" s="14"/>
      <c r="B100" s="14"/>
      <c r="C100" s="14"/>
      <c r="D100" s="14"/>
      <c r="E100" s="15"/>
      <c r="F100" s="14"/>
      <c r="G100" s="14"/>
      <c r="H100" s="14"/>
      <c r="I100" s="20"/>
      <c r="J100" s="15"/>
    </row>
    <row r="101" customFormat="false" ht="15" hidden="false" customHeight="false" outlineLevel="0" collapsed="false">
      <c r="A101" s="14"/>
      <c r="B101" s="14"/>
      <c r="C101" s="14"/>
      <c r="D101" s="14"/>
      <c r="E101" s="15"/>
      <c r="F101" s="14"/>
      <c r="G101" s="14"/>
      <c r="H101" s="14"/>
      <c r="I101" s="20"/>
      <c r="J101" s="15"/>
    </row>
    <row r="102" customFormat="false" ht="15" hidden="false" customHeight="false" outlineLevel="0" collapsed="false">
      <c r="A102" s="14"/>
      <c r="B102" s="14"/>
      <c r="C102" s="14"/>
      <c r="D102" s="14"/>
      <c r="E102" s="15"/>
      <c r="F102" s="14"/>
      <c r="G102" s="14"/>
      <c r="H102" s="14"/>
      <c r="I102" s="20"/>
      <c r="J102" s="15"/>
    </row>
    <row r="103" customFormat="false" ht="15" hidden="false" customHeight="false" outlineLevel="0" collapsed="false">
      <c r="A103" s="14"/>
      <c r="B103" s="14"/>
      <c r="C103" s="14"/>
      <c r="D103" s="14"/>
      <c r="E103" s="15"/>
      <c r="F103" s="14"/>
      <c r="G103" s="14"/>
      <c r="H103" s="14"/>
      <c r="I103" s="20"/>
      <c r="J103" s="15"/>
    </row>
    <row r="104" customFormat="false" ht="15" hidden="false" customHeight="false" outlineLevel="0" collapsed="false">
      <c r="A104" s="14"/>
      <c r="B104" s="14"/>
      <c r="C104" s="14"/>
      <c r="D104" s="14"/>
      <c r="E104" s="15"/>
      <c r="F104" s="14"/>
      <c r="G104" s="14"/>
      <c r="H104" s="14"/>
      <c r="I104" s="20"/>
      <c r="J104" s="15"/>
    </row>
    <row r="105" customFormat="false" ht="15" hidden="false" customHeight="false" outlineLevel="0" collapsed="false">
      <c r="A105" s="14"/>
      <c r="B105" s="14"/>
      <c r="C105" s="14"/>
      <c r="D105" s="14"/>
      <c r="E105" s="15"/>
      <c r="F105" s="14"/>
      <c r="G105" s="14"/>
      <c r="H105" s="14"/>
      <c r="I105" s="20"/>
      <c r="J105" s="15"/>
    </row>
    <row r="106" customFormat="false" ht="15" hidden="false" customHeight="false" outlineLevel="0" collapsed="false">
      <c r="A106" s="14"/>
      <c r="B106" s="14"/>
      <c r="C106" s="14"/>
      <c r="D106" s="14"/>
      <c r="E106" s="15"/>
      <c r="F106" s="14"/>
      <c r="G106" s="14"/>
      <c r="H106" s="14"/>
      <c r="I106" s="20"/>
      <c r="J106" s="15"/>
    </row>
    <row r="107" customFormat="false" ht="15" hidden="false" customHeight="false" outlineLevel="0" collapsed="false">
      <c r="A107" s="14"/>
      <c r="B107" s="14"/>
      <c r="C107" s="14"/>
      <c r="D107" s="14"/>
      <c r="E107" s="15"/>
      <c r="F107" s="14"/>
      <c r="G107" s="14"/>
      <c r="H107" s="14"/>
      <c r="I107" s="20"/>
      <c r="J107" s="15"/>
    </row>
    <row r="108" customFormat="false" ht="15" hidden="false" customHeight="false" outlineLevel="0" collapsed="false">
      <c r="A108" s="14"/>
      <c r="B108" s="14"/>
      <c r="C108" s="14"/>
      <c r="D108" s="14"/>
      <c r="E108" s="15"/>
      <c r="F108" s="14"/>
      <c r="G108" s="14"/>
      <c r="H108" s="14"/>
      <c r="I108" s="20"/>
      <c r="J108" s="15"/>
    </row>
    <row r="109" customFormat="false" ht="15" hidden="false" customHeight="false" outlineLevel="0" collapsed="false">
      <c r="A109" s="14"/>
      <c r="B109" s="14"/>
      <c r="C109" s="14"/>
      <c r="D109" s="14"/>
      <c r="E109" s="15"/>
      <c r="F109" s="14"/>
      <c r="G109" s="14"/>
      <c r="H109" s="14"/>
      <c r="I109" s="20"/>
      <c r="J109" s="15"/>
    </row>
    <row r="110" customFormat="false" ht="15" hidden="false" customHeight="false" outlineLevel="0" collapsed="false">
      <c r="A110" s="14"/>
      <c r="B110" s="14"/>
      <c r="C110" s="14"/>
      <c r="D110" s="14"/>
      <c r="E110" s="15"/>
      <c r="F110" s="14"/>
      <c r="G110" s="14"/>
      <c r="H110" s="14"/>
      <c r="I110" s="20"/>
      <c r="J110" s="15"/>
    </row>
    <row r="111" customFormat="false" ht="15" hidden="false" customHeight="false" outlineLevel="0" collapsed="false">
      <c r="A111" s="14"/>
      <c r="B111" s="14"/>
      <c r="C111" s="14"/>
      <c r="D111" s="14"/>
      <c r="E111" s="15"/>
      <c r="F111" s="14"/>
      <c r="G111" s="14"/>
      <c r="H111" s="14"/>
      <c r="I111" s="20"/>
      <c r="J111" s="15"/>
    </row>
    <row r="112" customFormat="false" ht="15" hidden="false" customHeight="false" outlineLevel="0" collapsed="false">
      <c r="A112" s="14"/>
      <c r="B112" s="14"/>
      <c r="C112" s="14"/>
      <c r="D112" s="14"/>
      <c r="E112" s="15"/>
      <c r="F112" s="14"/>
      <c r="G112" s="14"/>
      <c r="H112" s="14"/>
      <c r="I112" s="20"/>
      <c r="J112" s="15"/>
    </row>
    <row r="113" customFormat="false" ht="15" hidden="false" customHeight="false" outlineLevel="0" collapsed="false">
      <c r="A113" s="14"/>
      <c r="B113" s="14"/>
      <c r="C113" s="14"/>
      <c r="D113" s="14"/>
      <c r="E113" s="15"/>
      <c r="F113" s="14"/>
      <c r="G113" s="14"/>
      <c r="H113" s="14"/>
      <c r="I113" s="20"/>
      <c r="J113" s="15"/>
    </row>
    <row r="114" customFormat="false" ht="15" hidden="false" customHeight="false" outlineLevel="0" collapsed="false">
      <c r="A114" s="14"/>
      <c r="B114" s="14"/>
      <c r="C114" s="14"/>
      <c r="D114" s="14"/>
      <c r="E114" s="15"/>
      <c r="F114" s="14"/>
      <c r="G114" s="14"/>
      <c r="H114" s="14"/>
      <c r="I114" s="20"/>
      <c r="J114" s="15"/>
    </row>
    <row r="115" customFormat="false" ht="15" hidden="false" customHeight="false" outlineLevel="0" collapsed="false">
      <c r="A115" s="14"/>
      <c r="B115" s="14"/>
      <c r="C115" s="14"/>
      <c r="D115" s="14"/>
      <c r="E115" s="15"/>
      <c r="F115" s="14"/>
      <c r="G115" s="14"/>
      <c r="H115" s="14"/>
      <c r="I115" s="20"/>
      <c r="J115" s="15"/>
    </row>
    <row r="116" customFormat="false" ht="15" hidden="false" customHeight="false" outlineLevel="0" collapsed="false">
      <c r="A116" s="14"/>
      <c r="B116" s="14"/>
      <c r="C116" s="14"/>
      <c r="D116" s="14"/>
      <c r="E116" s="15"/>
      <c r="F116" s="14"/>
      <c r="G116" s="14"/>
      <c r="H116" s="14"/>
      <c r="I116" s="20"/>
      <c r="J116" s="15"/>
    </row>
    <row r="117" customFormat="false" ht="15" hidden="false" customHeight="false" outlineLevel="0" collapsed="false">
      <c r="A117" s="14"/>
      <c r="B117" s="14"/>
      <c r="C117" s="14"/>
      <c r="D117" s="14"/>
      <c r="E117" s="15"/>
      <c r="F117" s="14"/>
      <c r="G117" s="14"/>
      <c r="H117" s="14"/>
      <c r="I117" s="20"/>
      <c r="J117" s="15"/>
    </row>
    <row r="118" customFormat="false" ht="15" hidden="false" customHeight="false" outlineLevel="0" collapsed="false">
      <c r="A118" s="14"/>
      <c r="B118" s="14"/>
      <c r="C118" s="14"/>
      <c r="D118" s="14"/>
      <c r="E118" s="15"/>
      <c r="F118" s="14"/>
      <c r="G118" s="14"/>
      <c r="H118" s="14"/>
      <c r="I118" s="20"/>
      <c r="J118" s="15"/>
    </row>
    <row r="119" customFormat="false" ht="15" hidden="false" customHeight="false" outlineLevel="0" collapsed="false">
      <c r="A119" s="14"/>
      <c r="B119" s="14"/>
      <c r="C119" s="14"/>
      <c r="D119" s="14"/>
      <c r="E119" s="15"/>
      <c r="F119" s="14"/>
      <c r="G119" s="14"/>
      <c r="H119" s="14"/>
      <c r="I119" s="20"/>
      <c r="J119" s="15"/>
    </row>
    <row r="120" customFormat="false" ht="15" hidden="false" customHeight="false" outlineLevel="0" collapsed="false">
      <c r="A120" s="14"/>
      <c r="B120" s="14"/>
      <c r="C120" s="14"/>
      <c r="D120" s="14"/>
      <c r="E120" s="15"/>
      <c r="F120" s="14"/>
      <c r="G120" s="14"/>
      <c r="H120" s="14"/>
      <c r="I120" s="20"/>
      <c r="J120" s="15"/>
    </row>
    <row r="121" customFormat="false" ht="15" hidden="false" customHeight="false" outlineLevel="0" collapsed="false">
      <c r="A121" s="14"/>
      <c r="B121" s="14"/>
      <c r="C121" s="14"/>
      <c r="D121" s="14"/>
      <c r="E121" s="15"/>
      <c r="F121" s="14"/>
      <c r="G121" s="14"/>
      <c r="H121" s="14"/>
      <c r="I121" s="20"/>
      <c r="J121" s="15"/>
    </row>
    <row r="122" customFormat="false" ht="15" hidden="false" customHeight="false" outlineLevel="0" collapsed="false">
      <c r="A122" s="14"/>
      <c r="B122" s="14"/>
      <c r="C122" s="14"/>
      <c r="D122" s="14"/>
      <c r="E122" s="15"/>
      <c r="F122" s="14"/>
      <c r="G122" s="14"/>
      <c r="H122" s="14"/>
      <c r="I122" s="20"/>
      <c r="J122" s="15"/>
    </row>
    <row r="123" customFormat="false" ht="15" hidden="false" customHeight="false" outlineLevel="0" collapsed="false">
      <c r="A123" s="14"/>
      <c r="B123" s="14"/>
      <c r="C123" s="14"/>
      <c r="D123" s="14"/>
      <c r="E123" s="15"/>
      <c r="F123" s="14"/>
      <c r="G123" s="14"/>
      <c r="H123" s="14"/>
      <c r="I123" s="20"/>
      <c r="J123" s="15"/>
    </row>
    <row r="124" customFormat="false" ht="15" hidden="false" customHeight="false" outlineLevel="0" collapsed="false">
      <c r="A124" s="14"/>
      <c r="B124" s="14"/>
      <c r="C124" s="14"/>
      <c r="D124" s="14"/>
      <c r="E124" s="15"/>
      <c r="F124" s="14"/>
      <c r="G124" s="14"/>
      <c r="H124" s="14"/>
      <c r="I124" s="20"/>
      <c r="J124" s="15"/>
    </row>
    <row r="125" customFormat="false" ht="15" hidden="false" customHeight="false" outlineLevel="0" collapsed="false">
      <c r="A125" s="14"/>
      <c r="B125" s="14"/>
      <c r="C125" s="14"/>
      <c r="D125" s="14"/>
      <c r="E125" s="15"/>
      <c r="F125" s="14"/>
      <c r="G125" s="14"/>
      <c r="H125" s="14"/>
      <c r="I125" s="20"/>
      <c r="J125" s="15"/>
    </row>
    <row r="126" customFormat="false" ht="15" hidden="false" customHeight="false" outlineLevel="0" collapsed="false">
      <c r="A126" s="14"/>
      <c r="B126" s="14"/>
      <c r="C126" s="14"/>
      <c r="D126" s="14"/>
      <c r="E126" s="15"/>
      <c r="F126" s="14"/>
      <c r="G126" s="14"/>
      <c r="H126" s="14"/>
      <c r="I126" s="20"/>
      <c r="J126" s="15"/>
    </row>
    <row r="127" customFormat="false" ht="15" hidden="false" customHeight="false" outlineLevel="0" collapsed="false">
      <c r="A127" s="14"/>
      <c r="B127" s="14"/>
      <c r="C127" s="14"/>
      <c r="D127" s="14"/>
      <c r="E127" s="15"/>
      <c r="F127" s="14"/>
      <c r="G127" s="14"/>
      <c r="H127" s="14"/>
      <c r="I127" s="20"/>
      <c r="J127" s="15"/>
    </row>
    <row r="128" customFormat="false" ht="15" hidden="false" customHeight="false" outlineLevel="0" collapsed="false">
      <c r="A128" s="14"/>
      <c r="B128" s="14"/>
      <c r="C128" s="14"/>
      <c r="D128" s="14"/>
      <c r="E128" s="15"/>
      <c r="F128" s="14"/>
      <c r="G128" s="14"/>
      <c r="H128" s="14"/>
      <c r="I128" s="20"/>
      <c r="J128" s="15"/>
    </row>
    <row r="129" customFormat="false" ht="15" hidden="false" customHeight="false" outlineLevel="0" collapsed="false">
      <c r="A129" s="14"/>
      <c r="B129" s="14"/>
      <c r="C129" s="14"/>
      <c r="D129" s="14"/>
      <c r="E129" s="15"/>
      <c r="F129" s="14"/>
      <c r="G129" s="14"/>
      <c r="H129" s="14"/>
      <c r="I129" s="20"/>
      <c r="J129" s="15"/>
    </row>
    <row r="130" customFormat="false" ht="15" hidden="false" customHeight="false" outlineLevel="0" collapsed="false">
      <c r="A130" s="14"/>
      <c r="B130" s="14"/>
      <c r="C130" s="14"/>
      <c r="D130" s="14"/>
      <c r="E130" s="15"/>
      <c r="F130" s="14"/>
      <c r="G130" s="14"/>
      <c r="H130" s="14"/>
      <c r="I130" s="20"/>
      <c r="J130" s="15"/>
    </row>
    <row r="131" customFormat="false" ht="15" hidden="false" customHeight="false" outlineLevel="0" collapsed="false">
      <c r="A131" s="14"/>
      <c r="B131" s="14"/>
      <c r="C131" s="14"/>
      <c r="D131" s="14"/>
      <c r="E131" s="15"/>
      <c r="F131" s="14"/>
      <c r="G131" s="14"/>
      <c r="H131" s="14"/>
      <c r="I131" s="20"/>
      <c r="J131" s="15"/>
    </row>
    <row r="132" customFormat="false" ht="15" hidden="false" customHeight="false" outlineLevel="0" collapsed="false">
      <c r="A132" s="14"/>
      <c r="B132" s="14"/>
      <c r="C132" s="14"/>
      <c r="D132" s="14"/>
      <c r="E132" s="15"/>
      <c r="F132" s="14"/>
      <c r="G132" s="14"/>
      <c r="H132" s="14"/>
      <c r="I132" s="20"/>
      <c r="J132" s="15"/>
    </row>
    <row r="133" customFormat="false" ht="15" hidden="false" customHeight="false" outlineLevel="0" collapsed="false">
      <c r="A133" s="14"/>
      <c r="B133" s="14"/>
      <c r="C133" s="14"/>
      <c r="D133" s="14"/>
      <c r="E133" s="15"/>
      <c r="F133" s="14"/>
      <c r="G133" s="14"/>
      <c r="H133" s="14"/>
      <c r="I133" s="20"/>
      <c r="J133" s="15"/>
    </row>
    <row r="134" customFormat="false" ht="15" hidden="false" customHeight="false" outlineLevel="0" collapsed="false">
      <c r="A134" s="14"/>
      <c r="B134" s="14"/>
      <c r="C134" s="14"/>
      <c r="D134" s="14"/>
      <c r="E134" s="15"/>
      <c r="F134" s="14"/>
      <c r="G134" s="14"/>
      <c r="H134" s="14"/>
      <c r="I134" s="20"/>
      <c r="J134" s="15"/>
    </row>
    <row r="135" customFormat="false" ht="15" hidden="false" customHeight="false" outlineLevel="0" collapsed="false">
      <c r="A135" s="14"/>
      <c r="B135" s="14"/>
      <c r="C135" s="14"/>
      <c r="D135" s="14"/>
      <c r="E135" s="15"/>
      <c r="F135" s="14"/>
      <c r="G135" s="14"/>
      <c r="H135" s="14"/>
      <c r="I135" s="20"/>
      <c r="J135" s="15"/>
    </row>
    <row r="136" customFormat="false" ht="15" hidden="false" customHeight="false" outlineLevel="0" collapsed="false">
      <c r="A136" s="14"/>
      <c r="B136" s="14"/>
      <c r="C136" s="14"/>
      <c r="D136" s="14"/>
      <c r="E136" s="15"/>
      <c r="F136" s="14"/>
      <c r="G136" s="14"/>
      <c r="H136" s="14"/>
      <c r="I136" s="20"/>
      <c r="J136" s="15"/>
    </row>
    <row r="137" customFormat="false" ht="15" hidden="false" customHeight="false" outlineLevel="0" collapsed="false">
      <c r="A137" s="14"/>
      <c r="B137" s="14"/>
      <c r="C137" s="14"/>
      <c r="D137" s="14"/>
      <c r="E137" s="15"/>
      <c r="F137" s="14"/>
      <c r="G137" s="14"/>
      <c r="H137" s="14"/>
      <c r="I137" s="20"/>
      <c r="J137" s="15"/>
    </row>
    <row r="138" customFormat="false" ht="15" hidden="false" customHeight="false" outlineLevel="0" collapsed="false">
      <c r="A138" s="14"/>
      <c r="B138" s="14"/>
      <c r="C138" s="14"/>
      <c r="D138" s="14"/>
      <c r="E138" s="15"/>
      <c r="F138" s="14"/>
      <c r="G138" s="14"/>
      <c r="H138" s="14"/>
      <c r="I138" s="20"/>
      <c r="J138" s="15"/>
    </row>
    <row r="139" customFormat="false" ht="15" hidden="false" customHeight="false" outlineLevel="0" collapsed="false">
      <c r="A139" s="14"/>
      <c r="B139" s="14"/>
      <c r="C139" s="14"/>
      <c r="D139" s="14"/>
      <c r="E139" s="15"/>
      <c r="F139" s="14"/>
      <c r="G139" s="14"/>
      <c r="H139" s="14"/>
      <c r="I139" s="20"/>
      <c r="J139" s="15"/>
    </row>
    <row r="140" customFormat="false" ht="15" hidden="false" customHeight="false" outlineLevel="0" collapsed="false">
      <c r="A140" s="14"/>
      <c r="B140" s="14"/>
      <c r="C140" s="14"/>
      <c r="D140" s="14"/>
      <c r="E140" s="15"/>
      <c r="F140" s="14"/>
      <c r="G140" s="14"/>
      <c r="H140" s="14"/>
      <c r="I140" s="20"/>
      <c r="J140" s="15"/>
    </row>
    <row r="141" customFormat="false" ht="15" hidden="false" customHeight="false" outlineLevel="0" collapsed="false">
      <c r="A141" s="14"/>
      <c r="B141" s="14"/>
      <c r="C141" s="14"/>
      <c r="D141" s="14"/>
      <c r="E141" s="15"/>
      <c r="F141" s="14"/>
      <c r="G141" s="14"/>
      <c r="H141" s="14"/>
      <c r="I141" s="20"/>
      <c r="J141" s="15"/>
    </row>
    <row r="142" customFormat="false" ht="15" hidden="false" customHeight="false" outlineLevel="0" collapsed="false">
      <c r="A142" s="14"/>
      <c r="B142" s="14"/>
      <c r="C142" s="14"/>
      <c r="D142" s="14"/>
      <c r="E142" s="15"/>
      <c r="F142" s="14"/>
      <c r="G142" s="14"/>
      <c r="H142" s="14"/>
      <c r="I142" s="20"/>
      <c r="J142" s="15"/>
    </row>
    <row r="143" customFormat="false" ht="15" hidden="false" customHeight="false" outlineLevel="0" collapsed="false">
      <c r="A143" s="14"/>
      <c r="B143" s="14"/>
      <c r="C143" s="14"/>
      <c r="D143" s="14"/>
      <c r="E143" s="15"/>
      <c r="F143" s="14"/>
      <c r="G143" s="14"/>
      <c r="H143" s="14"/>
      <c r="I143" s="20"/>
      <c r="J143" s="15"/>
    </row>
    <row r="144" customFormat="false" ht="15" hidden="false" customHeight="false" outlineLevel="0" collapsed="false">
      <c r="A144" s="14"/>
      <c r="B144" s="14"/>
      <c r="C144" s="14"/>
      <c r="D144" s="14"/>
      <c r="E144" s="15"/>
      <c r="F144" s="14"/>
      <c r="G144" s="14"/>
      <c r="H144" s="14"/>
      <c r="I144" s="20"/>
      <c r="J144" s="15"/>
    </row>
    <row r="145" customFormat="false" ht="15" hidden="false" customHeight="false" outlineLevel="0" collapsed="false">
      <c r="A145" s="14"/>
      <c r="B145" s="14"/>
      <c r="C145" s="14"/>
      <c r="D145" s="14"/>
      <c r="E145" s="15"/>
      <c r="F145" s="14"/>
      <c r="G145" s="14"/>
      <c r="H145" s="14"/>
      <c r="I145" s="20"/>
      <c r="J145" s="15"/>
    </row>
    <row r="146" customFormat="false" ht="15" hidden="false" customHeight="false" outlineLevel="0" collapsed="false">
      <c r="A146" s="14"/>
      <c r="B146" s="14"/>
      <c r="C146" s="14"/>
      <c r="D146" s="14"/>
      <c r="E146" s="15"/>
      <c r="F146" s="14"/>
      <c r="G146" s="14"/>
      <c r="H146" s="14"/>
      <c r="I146" s="20"/>
      <c r="J146" s="15"/>
    </row>
    <row r="147" customFormat="false" ht="15" hidden="false" customHeight="false" outlineLevel="0" collapsed="false">
      <c r="A147" s="14"/>
      <c r="B147" s="14"/>
      <c r="C147" s="14"/>
      <c r="D147" s="14"/>
      <c r="E147" s="15"/>
      <c r="F147" s="14"/>
      <c r="G147" s="14"/>
      <c r="H147" s="14"/>
      <c r="I147" s="20"/>
      <c r="J147" s="15"/>
    </row>
    <row r="148" customFormat="false" ht="15" hidden="false" customHeight="false" outlineLevel="0" collapsed="false">
      <c r="A148" s="14"/>
      <c r="B148" s="14"/>
      <c r="C148" s="14"/>
      <c r="D148" s="14"/>
      <c r="E148" s="15"/>
      <c r="F148" s="14"/>
      <c r="G148" s="14"/>
      <c r="H148" s="14"/>
      <c r="I148" s="20"/>
      <c r="J148" s="15"/>
    </row>
    <row r="149" customFormat="false" ht="15" hidden="false" customHeight="false" outlineLevel="0" collapsed="false">
      <c r="A149" s="14"/>
      <c r="B149" s="14"/>
      <c r="C149" s="14"/>
      <c r="D149" s="14"/>
      <c r="E149" s="15"/>
      <c r="F149" s="14"/>
      <c r="G149" s="14"/>
      <c r="H149" s="14"/>
      <c r="I149" s="20"/>
      <c r="J149" s="15"/>
    </row>
    <row r="150" customFormat="false" ht="15" hidden="false" customHeight="false" outlineLevel="0" collapsed="false">
      <c r="A150" s="14"/>
      <c r="B150" s="14"/>
      <c r="C150" s="14"/>
      <c r="D150" s="14"/>
      <c r="E150" s="15"/>
      <c r="F150" s="14"/>
      <c r="G150" s="14"/>
      <c r="H150" s="14"/>
      <c r="I150" s="20"/>
      <c r="J150" s="15"/>
    </row>
    <row r="151" customFormat="false" ht="15" hidden="false" customHeight="false" outlineLevel="0" collapsed="false">
      <c r="A151" s="14"/>
      <c r="B151" s="14"/>
      <c r="C151" s="14"/>
      <c r="D151" s="14"/>
      <c r="E151" s="15"/>
      <c r="F151" s="14"/>
      <c r="G151" s="14"/>
      <c r="H151" s="14"/>
      <c r="I151" s="20"/>
      <c r="J151" s="15"/>
    </row>
    <row r="152" customFormat="false" ht="15" hidden="false" customHeight="false" outlineLevel="0" collapsed="false">
      <c r="A152" s="14"/>
      <c r="B152" s="14"/>
      <c r="C152" s="14"/>
      <c r="D152" s="14"/>
      <c r="E152" s="15"/>
      <c r="F152" s="14"/>
      <c r="G152" s="14"/>
      <c r="H152" s="14"/>
      <c r="I152" s="20"/>
      <c r="J152" s="15"/>
    </row>
    <row r="153" customFormat="false" ht="15" hidden="false" customHeight="false" outlineLevel="0" collapsed="false">
      <c r="A153" s="14"/>
      <c r="B153" s="14"/>
      <c r="C153" s="14"/>
      <c r="D153" s="14"/>
      <c r="E153" s="15"/>
      <c r="F153" s="14"/>
      <c r="G153" s="14"/>
      <c r="H153" s="14"/>
      <c r="I153" s="20"/>
      <c r="J153" s="15"/>
    </row>
    <row r="154" customFormat="false" ht="15" hidden="false" customHeight="false" outlineLevel="0" collapsed="false">
      <c r="A154" s="14"/>
      <c r="B154" s="14"/>
      <c r="C154" s="14"/>
      <c r="D154" s="14"/>
      <c r="E154" s="15"/>
      <c r="F154" s="14"/>
      <c r="G154" s="14"/>
      <c r="H154" s="14"/>
      <c r="I154" s="20"/>
      <c r="J154" s="15"/>
    </row>
    <row r="155" customFormat="false" ht="15" hidden="false" customHeight="false" outlineLevel="0" collapsed="false">
      <c r="A155" s="14"/>
      <c r="B155" s="14"/>
      <c r="C155" s="14"/>
      <c r="D155" s="14"/>
      <c r="E155" s="15"/>
      <c r="F155" s="14"/>
      <c r="G155" s="14"/>
      <c r="H155" s="14"/>
      <c r="I155" s="20"/>
      <c r="J155" s="15"/>
    </row>
    <row r="156" customFormat="false" ht="15" hidden="false" customHeight="false" outlineLevel="0" collapsed="false">
      <c r="A156" s="14"/>
      <c r="B156" s="14"/>
      <c r="C156" s="14"/>
      <c r="D156" s="14"/>
      <c r="E156" s="15"/>
      <c r="F156" s="14"/>
      <c r="G156" s="14"/>
      <c r="H156" s="14"/>
      <c r="I156" s="20"/>
      <c r="J156" s="15"/>
    </row>
    <row r="157" customFormat="false" ht="15" hidden="false" customHeight="false" outlineLevel="0" collapsed="false">
      <c r="A157" s="14"/>
      <c r="B157" s="14"/>
      <c r="C157" s="14"/>
      <c r="D157" s="14"/>
      <c r="E157" s="15"/>
      <c r="F157" s="14"/>
      <c r="G157" s="14"/>
      <c r="H157" s="14"/>
      <c r="I157" s="20"/>
      <c r="J157" s="15"/>
    </row>
    <row r="158" customFormat="false" ht="15" hidden="false" customHeight="false" outlineLevel="0" collapsed="false">
      <c r="A158" s="14"/>
      <c r="B158" s="14"/>
      <c r="C158" s="14"/>
      <c r="D158" s="14"/>
      <c r="E158" s="15"/>
      <c r="F158" s="14"/>
      <c r="G158" s="14"/>
      <c r="H158" s="14"/>
      <c r="I158" s="20"/>
      <c r="J158" s="15"/>
    </row>
    <row r="159" customFormat="false" ht="15" hidden="false" customHeight="false" outlineLevel="0" collapsed="false">
      <c r="A159" s="14"/>
      <c r="B159" s="14"/>
      <c r="C159" s="14"/>
      <c r="D159" s="14"/>
      <c r="E159" s="15"/>
      <c r="F159" s="14"/>
      <c r="G159" s="14"/>
      <c r="H159" s="14"/>
      <c r="I159" s="20"/>
      <c r="J159" s="15"/>
    </row>
    <row r="160" customFormat="false" ht="15" hidden="false" customHeight="false" outlineLevel="0" collapsed="false">
      <c r="A160" s="14"/>
      <c r="B160" s="14"/>
      <c r="C160" s="14"/>
      <c r="D160" s="14"/>
      <c r="E160" s="15"/>
      <c r="F160" s="14"/>
      <c r="G160" s="14"/>
      <c r="H160" s="14"/>
      <c r="I160" s="20"/>
      <c r="J160" s="15"/>
    </row>
    <row r="161" customFormat="false" ht="15" hidden="false" customHeight="false" outlineLevel="0" collapsed="false">
      <c r="A161" s="14"/>
      <c r="B161" s="14"/>
      <c r="C161" s="14"/>
      <c r="D161" s="14"/>
      <c r="E161" s="15"/>
      <c r="F161" s="14"/>
      <c r="G161" s="14"/>
      <c r="H161" s="14"/>
      <c r="I161" s="20"/>
      <c r="J161" s="15"/>
    </row>
    <row r="162" customFormat="false" ht="15" hidden="false" customHeight="false" outlineLevel="0" collapsed="false">
      <c r="A162" s="14"/>
      <c r="B162" s="14"/>
      <c r="C162" s="14"/>
      <c r="D162" s="14"/>
      <c r="E162" s="15"/>
      <c r="F162" s="14"/>
      <c r="G162" s="14"/>
      <c r="H162" s="14"/>
      <c r="I162" s="20"/>
      <c r="J162" s="15"/>
    </row>
    <row r="163" customFormat="false" ht="15" hidden="false" customHeight="false" outlineLevel="0" collapsed="false">
      <c r="A163" s="14"/>
      <c r="B163" s="14"/>
      <c r="C163" s="14"/>
      <c r="D163" s="14"/>
      <c r="E163" s="15"/>
      <c r="F163" s="14"/>
      <c r="G163" s="14"/>
      <c r="H163" s="14"/>
      <c r="I163" s="20"/>
      <c r="J163" s="15"/>
    </row>
    <row r="164" customFormat="false" ht="15" hidden="false" customHeight="false" outlineLevel="0" collapsed="false">
      <c r="A164" s="14"/>
      <c r="B164" s="14"/>
      <c r="C164" s="14"/>
      <c r="D164" s="14"/>
      <c r="E164" s="15"/>
      <c r="F164" s="14"/>
      <c r="G164" s="14"/>
      <c r="H164" s="14"/>
      <c r="I164" s="20"/>
      <c r="J164" s="15"/>
    </row>
    <row r="165" customFormat="false" ht="15" hidden="false" customHeight="false" outlineLevel="0" collapsed="false">
      <c r="A165" s="14"/>
      <c r="B165" s="14"/>
      <c r="C165" s="14"/>
      <c r="D165" s="14"/>
      <c r="E165" s="15"/>
      <c r="F165" s="14"/>
      <c r="G165" s="14"/>
      <c r="H165" s="14"/>
      <c r="I165" s="20"/>
      <c r="J165" s="15"/>
    </row>
    <row r="166" customFormat="false" ht="15" hidden="false" customHeight="false" outlineLevel="0" collapsed="false">
      <c r="A166" s="14"/>
      <c r="B166" s="14"/>
      <c r="C166" s="14"/>
      <c r="D166" s="14"/>
      <c r="E166" s="15"/>
      <c r="F166" s="14"/>
      <c r="G166" s="14"/>
      <c r="H166" s="14"/>
      <c r="I166" s="20"/>
      <c r="J166" s="15"/>
    </row>
    <row r="167" customFormat="false" ht="15" hidden="false" customHeight="false" outlineLevel="0" collapsed="false">
      <c r="A167" s="14"/>
      <c r="B167" s="14"/>
      <c r="C167" s="14"/>
      <c r="D167" s="14"/>
      <c r="E167" s="15"/>
      <c r="F167" s="14"/>
      <c r="G167" s="14"/>
      <c r="H167" s="14"/>
      <c r="I167" s="20"/>
      <c r="J167" s="15"/>
    </row>
    <row r="168" customFormat="false" ht="15" hidden="false" customHeight="false" outlineLevel="0" collapsed="false">
      <c r="A168" s="14"/>
      <c r="B168" s="14"/>
      <c r="C168" s="14"/>
      <c r="D168" s="14"/>
      <c r="E168" s="15"/>
      <c r="F168" s="14"/>
      <c r="G168" s="14"/>
      <c r="H168" s="14"/>
      <c r="I168" s="20"/>
      <c r="J168" s="15"/>
    </row>
    <row r="169" customFormat="false" ht="15" hidden="false" customHeight="false" outlineLevel="0" collapsed="false">
      <c r="A169" s="14"/>
      <c r="B169" s="14"/>
      <c r="C169" s="14"/>
      <c r="D169" s="14"/>
      <c r="E169" s="15"/>
      <c r="F169" s="14"/>
      <c r="G169" s="14"/>
      <c r="H169" s="14"/>
      <c r="I169" s="20"/>
      <c r="J169" s="15"/>
    </row>
    <row r="170" customFormat="false" ht="15" hidden="false" customHeight="false" outlineLevel="0" collapsed="false">
      <c r="A170" s="14"/>
      <c r="B170" s="14"/>
      <c r="C170" s="14"/>
      <c r="D170" s="14"/>
      <c r="E170" s="15"/>
      <c r="F170" s="14"/>
      <c r="G170" s="14"/>
      <c r="H170" s="14"/>
      <c r="I170" s="20"/>
      <c r="J170" s="15"/>
    </row>
    <row r="171" customFormat="false" ht="15" hidden="false" customHeight="false" outlineLevel="0" collapsed="false">
      <c r="A171" s="14"/>
      <c r="B171" s="14"/>
      <c r="C171" s="14"/>
      <c r="D171" s="14"/>
      <c r="E171" s="15"/>
      <c r="F171" s="14"/>
      <c r="G171" s="14"/>
      <c r="H171" s="14"/>
      <c r="I171" s="20"/>
      <c r="J171" s="15"/>
    </row>
    <row r="172" customFormat="false" ht="15" hidden="false" customHeight="false" outlineLevel="0" collapsed="false">
      <c r="A172" s="14"/>
      <c r="B172" s="14"/>
      <c r="C172" s="14"/>
      <c r="D172" s="14"/>
      <c r="E172" s="15"/>
      <c r="F172" s="14"/>
      <c r="G172" s="14"/>
      <c r="H172" s="14"/>
      <c r="I172" s="20"/>
      <c r="J172" s="15"/>
    </row>
    <row r="173" customFormat="false" ht="15" hidden="false" customHeight="false" outlineLevel="0" collapsed="false">
      <c r="A173" s="14"/>
      <c r="B173" s="14"/>
      <c r="C173" s="14"/>
      <c r="D173" s="14"/>
      <c r="E173" s="15"/>
      <c r="F173" s="14"/>
      <c r="G173" s="14"/>
      <c r="H173" s="14"/>
      <c r="I173" s="20"/>
      <c r="J173" s="15"/>
    </row>
    <row r="174" customFormat="false" ht="15" hidden="false" customHeight="false" outlineLevel="0" collapsed="false">
      <c r="A174" s="14"/>
      <c r="B174" s="14"/>
      <c r="C174" s="14"/>
      <c r="D174" s="14"/>
      <c r="E174" s="15"/>
      <c r="F174" s="14"/>
      <c r="G174" s="14"/>
      <c r="H174" s="14"/>
      <c r="I174" s="20"/>
      <c r="J174" s="15"/>
    </row>
    <row r="175" customFormat="false" ht="15" hidden="false" customHeight="false" outlineLevel="0" collapsed="false">
      <c r="A175" s="14"/>
      <c r="B175" s="14"/>
      <c r="C175" s="14"/>
      <c r="D175" s="14"/>
      <c r="E175" s="15"/>
      <c r="F175" s="14"/>
      <c r="G175" s="14"/>
      <c r="H175" s="14"/>
      <c r="I175" s="20"/>
      <c r="J175" s="15"/>
    </row>
    <row r="176" customFormat="false" ht="15" hidden="false" customHeight="false" outlineLevel="0" collapsed="false">
      <c r="A176" s="14"/>
      <c r="B176" s="14"/>
      <c r="C176" s="14"/>
      <c r="D176" s="14"/>
      <c r="E176" s="15"/>
      <c r="F176" s="14"/>
      <c r="G176" s="14"/>
      <c r="H176" s="14"/>
      <c r="I176" s="20"/>
      <c r="J176" s="15"/>
    </row>
    <row r="177" customFormat="false" ht="15" hidden="false" customHeight="false" outlineLevel="0" collapsed="false">
      <c r="A177" s="14"/>
      <c r="B177" s="14"/>
      <c r="C177" s="14"/>
      <c r="D177" s="14"/>
      <c r="E177" s="15"/>
      <c r="F177" s="14"/>
      <c r="G177" s="14"/>
      <c r="H177" s="14"/>
      <c r="I177" s="20"/>
      <c r="J177" s="15"/>
    </row>
    <row r="178" customFormat="false" ht="15" hidden="false" customHeight="false" outlineLevel="0" collapsed="false">
      <c r="A178" s="14"/>
      <c r="B178" s="14"/>
      <c r="C178" s="14"/>
      <c r="D178" s="14"/>
      <c r="E178" s="15"/>
      <c r="F178" s="14"/>
      <c r="G178" s="14"/>
      <c r="H178" s="14"/>
      <c r="I178" s="20"/>
      <c r="J178" s="15"/>
    </row>
    <row r="179" customFormat="false" ht="15" hidden="false" customHeight="false" outlineLevel="0" collapsed="false">
      <c r="A179" s="14"/>
      <c r="B179" s="14"/>
      <c r="C179" s="14"/>
      <c r="D179" s="14"/>
      <c r="E179" s="15"/>
      <c r="F179" s="14"/>
      <c r="G179" s="14"/>
      <c r="H179" s="14"/>
      <c r="I179" s="20"/>
      <c r="J179" s="15"/>
    </row>
    <row r="180" customFormat="false" ht="15" hidden="false" customHeight="false" outlineLevel="0" collapsed="false">
      <c r="A180" s="14"/>
      <c r="B180" s="14"/>
      <c r="C180" s="14"/>
      <c r="D180" s="14"/>
      <c r="E180" s="15"/>
      <c r="F180" s="14"/>
      <c r="G180" s="14"/>
      <c r="H180" s="14"/>
      <c r="I180" s="20"/>
      <c r="J180" s="15"/>
    </row>
    <row r="181" customFormat="false" ht="15" hidden="false" customHeight="false" outlineLevel="0" collapsed="false">
      <c r="A181" s="14"/>
      <c r="B181" s="14"/>
      <c r="C181" s="14"/>
      <c r="D181" s="14"/>
      <c r="E181" s="15"/>
      <c r="F181" s="14"/>
      <c r="G181" s="14"/>
      <c r="H181" s="14"/>
      <c r="I181" s="20"/>
      <c r="J181" s="15"/>
    </row>
    <row r="182" customFormat="false" ht="15" hidden="false" customHeight="false" outlineLevel="0" collapsed="false">
      <c r="A182" s="14"/>
      <c r="B182" s="14"/>
      <c r="C182" s="14"/>
      <c r="D182" s="14"/>
      <c r="E182" s="15"/>
      <c r="F182" s="14"/>
      <c r="G182" s="14"/>
      <c r="H182" s="14"/>
      <c r="I182" s="20"/>
      <c r="J182" s="15"/>
    </row>
    <row r="183" customFormat="false" ht="15" hidden="false" customHeight="false" outlineLevel="0" collapsed="false">
      <c r="A183" s="14"/>
      <c r="B183" s="14"/>
      <c r="C183" s="14"/>
      <c r="D183" s="14"/>
      <c r="E183" s="15"/>
      <c r="F183" s="14"/>
      <c r="G183" s="14"/>
      <c r="H183" s="14"/>
      <c r="I183" s="20"/>
      <c r="J183" s="15"/>
    </row>
    <row r="184" customFormat="false" ht="15" hidden="false" customHeight="false" outlineLevel="0" collapsed="false">
      <c r="A184" s="14"/>
      <c r="B184" s="14"/>
      <c r="C184" s="14"/>
      <c r="D184" s="14"/>
      <c r="E184" s="15"/>
      <c r="F184" s="14"/>
      <c r="G184" s="14"/>
      <c r="H184" s="14"/>
      <c r="I184" s="20"/>
      <c r="J184" s="15"/>
    </row>
    <row r="185" customFormat="false" ht="15" hidden="false" customHeight="false" outlineLevel="0" collapsed="false">
      <c r="A185" s="14"/>
      <c r="B185" s="14"/>
      <c r="C185" s="14"/>
      <c r="D185" s="14"/>
      <c r="E185" s="15"/>
      <c r="F185" s="14"/>
      <c r="G185" s="14"/>
      <c r="H185" s="14"/>
      <c r="I185" s="20"/>
      <c r="J185" s="15"/>
    </row>
    <row r="186" customFormat="false" ht="15" hidden="false" customHeight="false" outlineLevel="0" collapsed="false">
      <c r="A186" s="14"/>
      <c r="B186" s="14"/>
      <c r="C186" s="14"/>
      <c r="D186" s="14"/>
      <c r="E186" s="15"/>
      <c r="F186" s="14"/>
      <c r="G186" s="14"/>
      <c r="H186" s="14"/>
      <c r="I186" s="20"/>
      <c r="J186" s="15"/>
    </row>
    <row r="187" customFormat="false" ht="15" hidden="false" customHeight="false" outlineLevel="0" collapsed="false">
      <c r="A187" s="14"/>
      <c r="B187" s="14"/>
      <c r="C187" s="14"/>
      <c r="D187" s="14"/>
      <c r="E187" s="15"/>
      <c r="F187" s="14"/>
      <c r="G187" s="14"/>
      <c r="H187" s="14"/>
      <c r="I187" s="20"/>
      <c r="J187" s="15"/>
    </row>
    <row r="188" customFormat="false" ht="15" hidden="false" customHeight="false" outlineLevel="0" collapsed="false">
      <c r="A188" s="14"/>
      <c r="B188" s="14"/>
      <c r="C188" s="14"/>
      <c r="D188" s="14"/>
      <c r="E188" s="15"/>
      <c r="F188" s="14"/>
      <c r="G188" s="14"/>
      <c r="H188" s="14"/>
      <c r="I188" s="20"/>
      <c r="J188" s="15"/>
    </row>
    <row r="189" customFormat="false" ht="15" hidden="false" customHeight="false" outlineLevel="0" collapsed="false">
      <c r="A189" s="14"/>
      <c r="B189" s="14"/>
      <c r="C189" s="14"/>
      <c r="D189" s="14"/>
      <c r="E189" s="15"/>
      <c r="F189" s="14"/>
      <c r="G189" s="14"/>
      <c r="H189" s="14"/>
      <c r="I189" s="20"/>
      <c r="J189" s="15"/>
    </row>
    <row r="190" customFormat="false" ht="15" hidden="false" customHeight="false" outlineLevel="0" collapsed="false">
      <c r="A190" s="14"/>
      <c r="B190" s="14"/>
      <c r="C190" s="14"/>
      <c r="D190" s="14"/>
      <c r="E190" s="15"/>
      <c r="F190" s="14"/>
      <c r="G190" s="14"/>
      <c r="H190" s="14"/>
      <c r="I190" s="20"/>
      <c r="J190" s="15"/>
    </row>
    <row r="191" customFormat="false" ht="15" hidden="false" customHeight="false" outlineLevel="0" collapsed="false">
      <c r="A191" s="14"/>
      <c r="B191" s="14"/>
      <c r="C191" s="14"/>
      <c r="D191" s="14"/>
      <c r="E191" s="15"/>
      <c r="F191" s="14"/>
      <c r="G191" s="14"/>
      <c r="H191" s="14"/>
      <c r="I191" s="20"/>
      <c r="J191" s="15"/>
    </row>
    <row r="192" customFormat="false" ht="15" hidden="false" customHeight="false" outlineLevel="0" collapsed="false">
      <c r="A192" s="14"/>
      <c r="B192" s="14"/>
      <c r="C192" s="14"/>
      <c r="D192" s="14"/>
      <c r="E192" s="15"/>
      <c r="F192" s="14"/>
      <c r="G192" s="14"/>
      <c r="H192" s="14"/>
      <c r="I192" s="20"/>
      <c r="J192" s="15"/>
    </row>
    <row r="193" customFormat="false" ht="15" hidden="false" customHeight="false" outlineLevel="0" collapsed="false">
      <c r="A193" s="14"/>
      <c r="B193" s="14"/>
      <c r="C193" s="14"/>
      <c r="D193" s="14"/>
      <c r="E193" s="15"/>
      <c r="F193" s="14"/>
      <c r="G193" s="14"/>
      <c r="H193" s="14"/>
      <c r="I193" s="20"/>
      <c r="J193" s="15"/>
    </row>
    <row r="194" customFormat="false" ht="15" hidden="false" customHeight="false" outlineLevel="0" collapsed="false">
      <c r="A194" s="14"/>
      <c r="B194" s="14"/>
      <c r="C194" s="14"/>
      <c r="D194" s="14"/>
      <c r="E194" s="15"/>
      <c r="F194" s="14"/>
      <c r="G194" s="14"/>
      <c r="H194" s="14"/>
      <c r="I194" s="20"/>
      <c r="J194" s="15"/>
    </row>
    <row r="195" customFormat="false" ht="15" hidden="false" customHeight="false" outlineLevel="0" collapsed="false">
      <c r="A195" s="14"/>
      <c r="B195" s="14"/>
      <c r="C195" s="14"/>
      <c r="D195" s="14"/>
      <c r="E195" s="15"/>
      <c r="F195" s="14"/>
      <c r="G195" s="14"/>
      <c r="H195" s="14"/>
      <c r="I195" s="20"/>
      <c r="J195" s="15"/>
    </row>
    <row r="196" customFormat="false" ht="15" hidden="false" customHeight="false" outlineLevel="0" collapsed="false">
      <c r="A196" s="14"/>
      <c r="B196" s="14"/>
      <c r="C196" s="14"/>
      <c r="D196" s="14"/>
      <c r="E196" s="15"/>
      <c r="F196" s="14"/>
      <c r="G196" s="14"/>
      <c r="H196" s="14"/>
      <c r="I196" s="20"/>
      <c r="J196" s="15"/>
    </row>
    <row r="197" customFormat="false" ht="15" hidden="false" customHeight="false" outlineLevel="0" collapsed="false">
      <c r="A197" s="14"/>
      <c r="B197" s="14"/>
      <c r="C197" s="14"/>
      <c r="D197" s="14"/>
      <c r="E197" s="15"/>
      <c r="F197" s="14"/>
      <c r="G197" s="14"/>
      <c r="H197" s="14"/>
      <c r="I197" s="20"/>
      <c r="J197" s="15"/>
    </row>
    <row r="198" customFormat="false" ht="15" hidden="false" customHeight="false" outlineLevel="0" collapsed="false">
      <c r="A198" s="14"/>
      <c r="B198" s="14"/>
      <c r="C198" s="14"/>
      <c r="D198" s="14"/>
      <c r="E198" s="15"/>
      <c r="F198" s="14"/>
      <c r="G198" s="14"/>
      <c r="H198" s="14"/>
      <c r="I198" s="20"/>
      <c r="J198" s="15"/>
    </row>
    <row r="199" customFormat="false" ht="15" hidden="false" customHeight="false" outlineLevel="0" collapsed="false">
      <c r="A199" s="14"/>
      <c r="B199" s="14"/>
      <c r="C199" s="14"/>
      <c r="D199" s="14"/>
      <c r="E199" s="15"/>
      <c r="F199" s="14"/>
      <c r="G199" s="14"/>
      <c r="H199" s="14"/>
      <c r="I199" s="20"/>
      <c r="J199" s="15"/>
    </row>
    <row r="200" customFormat="false" ht="15" hidden="false" customHeight="false" outlineLevel="0" collapsed="false">
      <c r="A200" s="14"/>
      <c r="B200" s="14"/>
      <c r="C200" s="14"/>
      <c r="D200" s="14"/>
      <c r="E200" s="15"/>
      <c r="F200" s="14"/>
      <c r="G200" s="14"/>
      <c r="H200" s="14"/>
      <c r="I200" s="20"/>
      <c r="J200" s="15"/>
    </row>
    <row r="201" customFormat="false" ht="15" hidden="false" customHeight="false" outlineLevel="0" collapsed="false">
      <c r="A201" s="14"/>
      <c r="B201" s="14"/>
      <c r="C201" s="14"/>
      <c r="D201" s="14"/>
      <c r="E201" s="15"/>
      <c r="F201" s="14"/>
      <c r="G201" s="14"/>
      <c r="H201" s="14"/>
      <c r="I201" s="20"/>
      <c r="J201" s="15"/>
    </row>
    <row r="202" customFormat="false" ht="15" hidden="false" customHeight="false" outlineLevel="0" collapsed="false">
      <c r="A202" s="14"/>
      <c r="B202" s="14"/>
      <c r="C202" s="14"/>
      <c r="D202" s="14"/>
      <c r="E202" s="15"/>
      <c r="F202" s="14"/>
      <c r="G202" s="14"/>
      <c r="H202" s="14"/>
      <c r="I202" s="20"/>
      <c r="J202" s="15"/>
    </row>
    <row r="203" customFormat="false" ht="15" hidden="false" customHeight="false" outlineLevel="0" collapsed="false">
      <c r="A203" s="14"/>
      <c r="B203" s="14"/>
      <c r="C203" s="14"/>
      <c r="D203" s="14"/>
      <c r="E203" s="15"/>
      <c r="F203" s="14"/>
      <c r="G203" s="14"/>
      <c r="H203" s="14"/>
      <c r="I203" s="20"/>
      <c r="J203" s="15"/>
    </row>
    <row r="204" customFormat="false" ht="15" hidden="false" customHeight="false" outlineLevel="0" collapsed="false">
      <c r="A204" s="14"/>
      <c r="B204" s="14"/>
      <c r="C204" s="14"/>
      <c r="D204" s="14"/>
      <c r="E204" s="15"/>
      <c r="F204" s="14"/>
      <c r="G204" s="14"/>
      <c r="H204" s="14"/>
      <c r="I204" s="20"/>
      <c r="J204" s="15"/>
    </row>
    <row r="205" customFormat="false" ht="15" hidden="false" customHeight="false" outlineLevel="0" collapsed="false">
      <c r="A205" s="14"/>
      <c r="B205" s="14"/>
      <c r="C205" s="14"/>
      <c r="D205" s="14"/>
      <c r="E205" s="15"/>
      <c r="F205" s="14"/>
      <c r="G205" s="14"/>
      <c r="H205" s="14"/>
      <c r="I205" s="20"/>
      <c r="J205" s="15"/>
    </row>
  </sheetData>
  <autoFilter ref="A4:J205"/>
  <dataValidations count="1">
    <dataValidation allowBlank="true" errorStyle="stop" operator="between" showDropDown="false" showErrorMessage="true" showInputMessage="false" sqref="D5:D205" type="list">
      <formula1>"Infant,Toddler,Child,Teen,Young Adult,Adult,Elder"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2026-10-12T02:22:56Z</dcterms:created>
  <dc:creator>openpyxl</dc:creator>
  <dc:description/>
  <dc:language>en-US</dc:language>
  <cp:lastModifiedBy/>
  <dcterms:modified xsi:type="dcterms:W3CDTF">2026-10-12T02:22:56Z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